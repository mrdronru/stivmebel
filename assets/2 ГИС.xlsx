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.schedrin\Desktop\"/>
    </mc:Choice>
  </mc:AlternateContent>
  <xr:revisionPtr revIDLastSave="0" documentId="13_ncr:1_{0D24FE31-B684-4E7A-ACB6-99D5E480175C}" xr6:coauthVersionLast="36" xr6:coauthVersionMax="36" xr10:uidLastSave="{00000000-0000-0000-0000-000000000000}"/>
  <bookViews>
    <workbookView xWindow="-100" yWindow="-100" windowWidth="23230" windowHeight="13870" xr2:uid="{00000000-000D-0000-FFFF-FFFF00000000}"/>
  </bookViews>
  <sheets>
    <sheet name="Итоговый расчет" sheetId="2" r:id="rId1"/>
    <sheet name="Детальный расчет" sheetId="5" r:id="rId2"/>
    <sheet name="Настройка геоконтекста" sheetId="6" r:id="rId3"/>
    <sheet name="Статистика" sheetId="7" r:id="rId4"/>
  </sheets>
  <calcPr calcId="191029"/>
</workbook>
</file>

<file path=xl/calcChain.xml><?xml version="1.0" encoding="utf-8"?>
<calcChain xmlns="http://schemas.openxmlformats.org/spreadsheetml/2006/main">
  <c r="J31" i="5" l="1"/>
  <c r="I31" i="5"/>
  <c r="H31" i="5"/>
  <c r="G31" i="5"/>
  <c r="F31" i="5"/>
  <c r="J30" i="5"/>
  <c r="J29" i="5"/>
  <c r="J28" i="5"/>
  <c r="J27" i="5"/>
  <c r="J25" i="5"/>
  <c r="J24" i="5"/>
  <c r="B20" i="5"/>
  <c r="G17" i="2"/>
  <c r="F17" i="2"/>
  <c r="E17" i="2"/>
  <c r="D17" i="2"/>
  <c r="C17" i="2"/>
  <c r="G16" i="2"/>
  <c r="B12" i="2"/>
  <c r="I14" i="5"/>
  <c r="H14" i="5"/>
  <c r="G14" i="5"/>
  <c r="F14" i="5"/>
  <c r="J14" i="5" s="1"/>
  <c r="J13" i="5"/>
  <c r="J12" i="5"/>
  <c r="J11" i="5"/>
  <c r="J10" i="5"/>
  <c r="J8" i="5"/>
  <c r="J7" i="5"/>
  <c r="B3" i="5"/>
  <c r="F8" i="2"/>
  <c r="E8" i="2"/>
  <c r="D8" i="2"/>
  <c r="C8" i="2"/>
  <c r="G8" i="2" s="1"/>
  <c r="G7" i="2"/>
  <c r="B3" i="2"/>
</calcChain>
</file>

<file path=xl/sharedStrings.xml><?xml version="1.0" encoding="utf-8"?>
<sst xmlns="http://schemas.openxmlformats.org/spreadsheetml/2006/main" count="154" uniqueCount="53">
  <si>
    <t>Срок размещения</t>
  </si>
  <si>
    <t>Город</t>
  </si>
  <si>
    <t>Фирма</t>
  </si>
  <si>
    <t>Итого</t>
  </si>
  <si>
    <t>Позиция</t>
  </si>
  <si>
    <t>Объекты привязки</t>
  </si>
  <si>
    <t>Стоимость в месяц</t>
  </si>
  <si>
    <t>Стоимость в месяц со скидкой</t>
  </si>
  <si>
    <t xml:space="preserve">Стоимость в месяц </t>
  </si>
  <si>
    <t>Процент скидки</t>
  </si>
  <si>
    <t>Стоимость за весь период со скидкой</t>
  </si>
  <si>
    <t xml:space="preserve">Стоимость за весь период со скидкой </t>
  </si>
  <si>
    <t>Название расчета</t>
  </si>
  <si>
    <t>Начало размещения</t>
  </si>
  <si>
    <t>{{==SUM(F7)}}</t>
  </si>
  <si>
    <t>{{==SUM(G7)}}</t>
  </si>
  <si>
    <t>{{==SUM(H7)}}</t>
  </si>
  <si>
    <t>{{==SUM(I7)}}</t>
  </si>
  <si>
    <t>{{==IF(OR(ISBLANK(F9),F9=0), "", (F9-G9)/F9)}}</t>
  </si>
  <si>
    <t>Рубрика</t>
  </si>
  <si>
    <t>Приоритет</t>
  </si>
  <si>
    <t>*Места в выдаче к каждой рубрике актуальны на момент создания коммерческого предложения и носят приблизительный характер, так как зависят от количества рекламодателей, которые также купили Приоритет более высокого порядка</t>
  </si>
  <si>
    <t>Ожидаемая позиция в выдаче *</t>
  </si>
  <si>
    <t>Количество</t>
  </si>
  <si>
    <t>Итоговая стоимость рекламного размещения, с НДС</t>
  </si>
  <si>
    <t>Стоимость за весь период, с НДС</t>
  </si>
  <si>
    <t>Стив Интерьер, компания по производству мебели на заказ</t>
  </si>
  <si>
    <t>Москва</t>
  </si>
  <si>
    <t>Пакет «Старт Медиа»</t>
  </si>
  <si>
    <t>Подключение в другие рубрики для пакета Медиа</t>
  </si>
  <si>
    <t>Приоритет в рубрике</t>
  </si>
  <si>
    <t>Корпусная мебель</t>
  </si>
  <si>
    <t>Мебель для кухни</t>
  </si>
  <si>
    <t>Мебель на заказ</t>
  </si>
  <si>
    <t>Корпусная мебель с приоритетом 1</t>
  </si>
  <si>
    <t>Мебель для кухни с приоритетом 5</t>
  </si>
  <si>
    <t>Мебель на заказ с приоритетом 2</t>
  </si>
  <si>
    <t>4-8</t>
  </si>
  <si>
    <t>5-9</t>
  </si>
  <si>
    <t>5-8</t>
  </si>
  <si>
    <t>Мебель для кухни с приоритетом 6</t>
  </si>
  <si>
    <t>Мебель на заказ с приоритетом 3</t>
  </si>
  <si>
    <t>4-5</t>
  </si>
  <si>
    <t>Общая статистика / Рекламодатель, Москва</t>
  </si>
  <si>
    <t>Месяц</t>
  </si>
  <si>
    <t>Показы</t>
  </si>
  <si>
    <t>Клики</t>
  </si>
  <si>
    <t>Переходы на сайт</t>
  </si>
  <si>
    <t>Клики в мессенджер</t>
  </si>
  <si>
    <t>Звонки</t>
  </si>
  <si>
    <t>Кнопка-действие</t>
  </si>
  <si>
    <t>Общее число целевых действий</t>
  </si>
  <si>
    <t>Общая статистика / Имфони, салон мебели,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</si>
</sst>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#,##0.00\ &quot;₽&quot;;\-#,##0.00\ &quot;₽&quot;"/>
    <numFmt numFmtId="44" formatCode="_-* #,##0.00\ &quot;₽&quot;_-;\-* #,##0.00\ &quot;₽&quot;_-;_-* &quot;-&quot;??\ &quot;₽&quot;_-;_-@_-"/>
    <numFmt numFmtId="164" formatCode="0\ &quot;мес.&quot;"/>
    <numFmt numFmtId="165" formatCode="0\ &quot;шт.&quot;"/>
    <numFmt numFmtId="166" formatCode="0\ &quot;шт.&quot;;;"/>
    <numFmt numFmtId="167" formatCode="[$]dd\.mm\.yyyy;@"/>
    <numFmt numFmtId="168" formatCode="0.00%;;"/>
    <numFmt numFmtId="169" formatCode="#,##0.00\ [$₽-419]"/>
    <numFmt numFmtId="170" formatCode="[$-10419]mmmm\ yyyy"/>
    <numFmt numFmtId="171" formatCode="[$-10419]#,##0;\(#,##0\)"/>
    <numFmt numFmtId="172" formatCode="[$-10419]0;\(0\)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5CD39"/>
        <bgColor rgb="FFA5CD39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57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right" vertical="center"/>
    </xf>
    <xf numFmtId="7" fontId="0" fillId="0" borderId="1" xfId="1" applyNumberFormat="1" applyFont="1" applyBorder="1" applyAlignment="1">
      <alignment vertical="center" wrapText="1"/>
    </xf>
    <xf numFmtId="165" fontId="0" fillId="0" borderId="1" xfId="1" applyNumberFormat="1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167" fontId="4" fillId="0" borderId="0" xfId="1" applyNumberFormat="1" applyFont="1" applyAlignment="1">
      <alignment horizontal="left" vertical="center" wrapText="1"/>
    </xf>
    <xf numFmtId="168" fontId="6" fillId="0" borderId="1" xfId="2" applyNumberFormat="1" applyFont="1" applyBorder="1" applyAlignment="1">
      <alignment horizontal="right" vertical="center"/>
    </xf>
    <xf numFmtId="168" fontId="2" fillId="2" borderId="1" xfId="2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 wrapText="1"/>
    </xf>
    <xf numFmtId="168" fontId="0" fillId="0" borderId="1" xfId="2" applyNumberFormat="1" applyFont="1" applyBorder="1" applyAlignment="1">
      <alignment horizontal="right" vertical="center" wrapText="1"/>
    </xf>
    <xf numFmtId="168" fontId="2" fillId="2" borderId="1" xfId="0" applyNumberFormat="1" applyFont="1" applyFill="1" applyBorder="1" applyAlignment="1">
      <alignment horizontal="right" vertical="center" wrapText="1"/>
    </xf>
    <xf numFmtId="169" fontId="0" fillId="0" borderId="1" xfId="1" applyNumberFormat="1" applyFont="1" applyBorder="1" applyAlignment="1">
      <alignment horizontal="right" vertical="center"/>
    </xf>
    <xf numFmtId="169" fontId="2" fillId="2" borderId="1" xfId="0" applyNumberFormat="1" applyFont="1" applyFill="1" applyBorder="1" applyAlignment="1">
      <alignment horizontal="right" vertical="center" wrapText="1"/>
    </xf>
    <xf numFmtId="169" fontId="4" fillId="0" borderId="0" xfId="1" applyNumberFormat="1" applyFont="1" applyAlignment="1">
      <alignment horizontal="left" vertical="center" wrapText="1"/>
    </xf>
    <xf numFmtId="169" fontId="2" fillId="2" borderId="1" xfId="1" applyNumberFormat="1" applyFont="1" applyFill="1" applyBorder="1" applyAlignment="1">
      <alignment horizontal="right" vertical="center"/>
    </xf>
    <xf numFmtId="0" fontId="0" fillId="0" borderId="1" xfId="1" applyNumberFormat="1" applyFont="1" applyBorder="1" applyAlignment="1">
      <alignment horizontal="right" vertical="center"/>
    </xf>
    <xf numFmtId="169" fontId="0" fillId="0" borderId="1" xfId="1" applyNumberFormat="1" applyFont="1" applyBorder="1" applyAlignment="1">
      <alignment horizontal="left" vertical="center"/>
    </xf>
    <xf numFmtId="0" fontId="0" fillId="0" borderId="0" xfId="0"/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0" fillId="0" borderId="0" xfId="0"/>
    <xf numFmtId="0" fontId="9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7" fontId="0" fillId="0" borderId="1" xfId="1" applyNumberFormat="1" applyFont="1" applyBorder="1" applyAlignment="1">
      <alignment vertical="center" wrapText="1"/>
    </xf>
    <xf numFmtId="169" fontId="0" fillId="0" borderId="1" xfId="1" applyNumberFormat="1" applyFont="1" applyBorder="1" applyAlignment="1">
      <alignment horizontal="right" vertical="center"/>
    </xf>
    <xf numFmtId="168" fontId="6" fillId="0" borderId="1" xfId="2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11" fillId="3" borderId="0" xfId="3" applyNumberFormat="1" applyFont="1" applyFill="1" applyBorder="1" applyAlignment="1">
      <alignment vertical="top" wrapText="1"/>
    </xf>
    <xf numFmtId="0" fontId="12" fillId="3" borderId="0" xfId="3" applyNumberFormat="1" applyFont="1" applyFill="1" applyBorder="1" applyAlignment="1">
      <alignment horizontal="center" vertical="center" wrapText="1" readingOrder="1"/>
    </xf>
    <xf numFmtId="0" fontId="11" fillId="3" borderId="0" xfId="3" applyNumberFormat="1" applyFont="1" applyFill="1" applyBorder="1" applyAlignment="1">
      <alignment vertical="top" wrapText="1"/>
    </xf>
    <xf numFmtId="0" fontId="11" fillId="4" borderId="0" xfId="3" applyNumberFormat="1" applyFont="1" applyFill="1" applyBorder="1" applyAlignment="1">
      <alignment vertical="top" wrapText="1"/>
    </xf>
    <xf numFmtId="0" fontId="13" fillId="4" borderId="1" xfId="3" applyNumberFormat="1" applyFont="1" applyFill="1" applyBorder="1" applyAlignment="1">
      <alignment vertical="top" wrapText="1" readingOrder="1"/>
    </xf>
    <xf numFmtId="0" fontId="11" fillId="4" borderId="1" xfId="3" applyNumberFormat="1" applyFont="1" applyFill="1" applyBorder="1" applyAlignment="1">
      <alignment vertical="top" wrapText="1"/>
    </xf>
    <xf numFmtId="0" fontId="13" fillId="4" borderId="1" xfId="3" applyNumberFormat="1" applyFont="1" applyFill="1" applyBorder="1" applyAlignment="1">
      <alignment vertical="top" wrapText="1" readingOrder="1"/>
    </xf>
    <xf numFmtId="170" fontId="14" fillId="5" borderId="1" xfId="3" applyNumberFormat="1" applyFont="1" applyFill="1" applyBorder="1" applyAlignment="1">
      <alignment horizontal="left" vertical="top" wrapText="1" readingOrder="1"/>
    </xf>
    <xf numFmtId="0" fontId="11" fillId="5" borderId="1" xfId="3" applyNumberFormat="1" applyFont="1" applyFill="1" applyBorder="1" applyAlignment="1">
      <alignment vertical="top" wrapText="1"/>
    </xf>
    <xf numFmtId="171" fontId="14" fillId="5" borderId="1" xfId="3" applyNumberFormat="1" applyFont="1" applyFill="1" applyBorder="1" applyAlignment="1">
      <alignment vertical="top" wrapText="1" readingOrder="1"/>
    </xf>
    <xf numFmtId="172" fontId="14" fillId="5" borderId="1" xfId="3" applyNumberFormat="1" applyFont="1" applyFill="1" applyBorder="1" applyAlignment="1">
      <alignment vertical="top" wrapText="1" readingOrder="1"/>
    </xf>
    <xf numFmtId="0" fontId="14" fillId="5" borderId="1" xfId="3" applyNumberFormat="1" applyFont="1" applyFill="1" applyBorder="1" applyAlignment="1">
      <alignment vertical="top" wrapText="1" readingOrder="1"/>
    </xf>
    <xf numFmtId="171" fontId="13" fillId="4" borderId="1" xfId="3" applyNumberFormat="1" applyFont="1" applyFill="1" applyBorder="1" applyAlignment="1">
      <alignment vertical="top" wrapText="1" readingOrder="1"/>
    </xf>
    <xf numFmtId="172" fontId="13" fillId="4" borderId="1" xfId="3" applyNumberFormat="1" applyFont="1" applyFill="1" applyBorder="1" applyAlignment="1">
      <alignment vertical="top" wrapText="1" readingOrder="1"/>
    </xf>
    <xf numFmtId="0" fontId="12" fillId="3" borderId="7" xfId="3" applyNumberFormat="1" applyFont="1" applyFill="1" applyBorder="1" applyAlignment="1">
      <alignment horizontal="center" vertical="center" wrapText="1" readingOrder="1"/>
    </xf>
  </cellXfs>
  <cellStyles count="4">
    <cellStyle name="Normal" xfId="3" xr:uid="{83417E6A-A469-4B03-BE95-716F5E9041B9}"/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18143</xdr:colOff>
      <xdr:row>0</xdr:row>
      <xdr:rowOff>0</xdr:rowOff>
    </xdr:from>
    <xdr:to>
      <xdr:col>18</xdr:col>
      <xdr:colOff>36814</xdr:colOff>
      <xdr:row>11</xdr:row>
      <xdr:rowOff>297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E6633B-3B78-48E2-B7F6-AC901655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0786" y="0"/>
          <a:ext cx="6096528" cy="3429297"/>
        </a:xfrm>
        <a:prstGeom prst="rect">
          <a:avLst/>
        </a:prstGeom>
      </xdr:spPr>
    </xdr:pic>
    <xdr:clientData/>
  </xdr:twoCellAnchor>
  <xdr:twoCellAnchor editAs="oneCell">
    <xdr:from>
      <xdr:col>8</xdr:col>
      <xdr:colOff>9071</xdr:colOff>
      <xdr:row>11</xdr:row>
      <xdr:rowOff>1</xdr:rowOff>
    </xdr:from>
    <xdr:to>
      <xdr:col>18</xdr:col>
      <xdr:colOff>27742</xdr:colOff>
      <xdr:row>24</xdr:row>
      <xdr:rowOff>81941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F701D97-C96E-46EB-BA36-003F74CBA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1714" y="3429001"/>
          <a:ext cx="6096528" cy="3429297"/>
        </a:xfrm>
        <a:prstGeom prst="rect">
          <a:avLst/>
        </a:prstGeom>
      </xdr:spPr>
    </xdr:pic>
    <xdr:clientData/>
  </xdr:twoCellAnchor>
  <xdr:twoCellAnchor editAs="oneCell">
    <xdr:from>
      <xdr:col>18</xdr:col>
      <xdr:colOff>18142</xdr:colOff>
      <xdr:row>0</xdr:row>
      <xdr:rowOff>0</xdr:rowOff>
    </xdr:from>
    <xdr:to>
      <xdr:col>28</xdr:col>
      <xdr:colOff>36813</xdr:colOff>
      <xdr:row>11</xdr:row>
      <xdr:rowOff>297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CB26371-E71F-40BC-819D-F51E11B2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48642" y="0"/>
          <a:ext cx="6096528" cy="3429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14</xdr:row>
      <xdr:rowOff>226786</xdr:rowOff>
    </xdr:from>
    <xdr:to>
      <xdr:col>7</xdr:col>
      <xdr:colOff>417285</xdr:colOff>
      <xdr:row>15</xdr:row>
      <xdr:rowOff>217715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6835D-4DCA-4A06-9A4B-C65762A05D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87857" y="5270500"/>
          <a:ext cx="616857" cy="353786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266700</xdr:colOff>
      <xdr:row>4</xdr:row>
      <xdr:rowOff>406400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FB83D61-4F04-4AE5-A415-6648BB091BF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3550" y="444500"/>
          <a:ext cx="971550" cy="40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50" zoomScaleNormal="50" workbookViewId="0">
      <selection activeCell="U6" sqref="U6"/>
    </sheetView>
  </sheetViews>
  <sheetFormatPr defaultColWidth="8.6328125" defaultRowHeight="14.5" x14ac:dyDescent="0.35"/>
  <cols>
    <col min="1" max="1" width="30" customWidth="1"/>
    <col min="2" max="2" width="29.6328125" customWidth="1"/>
    <col min="3" max="4" width="14.1796875" bestFit="1" customWidth="1"/>
    <col min="5" max="5" width="14.6328125" bestFit="1" customWidth="1"/>
    <col min="6" max="6" width="14.1796875" bestFit="1" customWidth="1"/>
    <col min="7" max="7" width="8.453125" customWidth="1"/>
  </cols>
  <sheetData>
    <row r="1" spans="1:7" ht="46.5" x14ac:dyDescent="0.35">
      <c r="A1" s="1" t="s">
        <v>12</v>
      </c>
      <c r="B1" s="2" t="s">
        <v>26</v>
      </c>
    </row>
    <row r="2" spans="1:7" ht="15.5" x14ac:dyDescent="0.35">
      <c r="A2" s="1" t="s">
        <v>0</v>
      </c>
      <c r="B2" s="6">
        <v>4</v>
      </c>
    </row>
    <row r="3" spans="1:7" ht="46.5" x14ac:dyDescent="0.35">
      <c r="A3" s="1" t="s">
        <v>24</v>
      </c>
      <c r="B3" s="22">
        <f>SUM(D7)</f>
        <v>144496.80000000002</v>
      </c>
    </row>
    <row r="4" spans="1:7" ht="15.5" x14ac:dyDescent="0.35">
      <c r="A4" s="1" t="s">
        <v>13</v>
      </c>
      <c r="B4" s="14">
        <v>46235</v>
      </c>
    </row>
    <row r="6" spans="1:7" ht="43.5" x14ac:dyDescent="0.35">
      <c r="A6" s="8" t="s">
        <v>1</v>
      </c>
      <c r="B6" s="8" t="s">
        <v>2</v>
      </c>
      <c r="C6" s="8" t="s">
        <v>25</v>
      </c>
      <c r="D6" s="8" t="s">
        <v>10</v>
      </c>
      <c r="E6" s="8" t="s">
        <v>6</v>
      </c>
      <c r="F6" s="8" t="s">
        <v>7</v>
      </c>
      <c r="G6" s="8" t="s">
        <v>9</v>
      </c>
    </row>
    <row r="7" spans="1:7" ht="29" x14ac:dyDescent="0.35">
      <c r="A7" s="4" t="s">
        <v>27</v>
      </c>
      <c r="B7" s="3" t="s">
        <v>26</v>
      </c>
      <c r="C7" s="20">
        <v>160552</v>
      </c>
      <c r="D7" s="20">
        <v>144496.80000000002</v>
      </c>
      <c r="E7" s="20">
        <v>40138</v>
      </c>
      <c r="F7" s="20">
        <v>36124.200000000004</v>
      </c>
      <c r="G7" s="18">
        <f t="shared" ref="G7:G8" si="0">IF(OR(ISBLANK(C7),C7=0),"",(C7-D7)/C7)</f>
        <v>9.9999999999999895E-2</v>
      </c>
    </row>
    <row r="8" spans="1:7" x14ac:dyDescent="0.35">
      <c r="A8" s="13" t="s">
        <v>3</v>
      </c>
      <c r="B8" s="17"/>
      <c r="C8" s="21">
        <f t="shared" ref="C8:F8" si="1">SUM(C7)</f>
        <v>160552</v>
      </c>
      <c r="D8" s="21">
        <f t="shared" si="1"/>
        <v>144496.80000000002</v>
      </c>
      <c r="E8" s="21">
        <f t="shared" si="1"/>
        <v>40138</v>
      </c>
      <c r="F8" s="21">
        <f t="shared" si="1"/>
        <v>36124.200000000004</v>
      </c>
      <c r="G8" s="19">
        <f t="shared" si="0"/>
        <v>9.9999999999999895E-2</v>
      </c>
    </row>
    <row r="11" spans="1:7" ht="15.5" x14ac:dyDescent="0.35">
      <c r="A11" s="1" t="s">
        <v>0</v>
      </c>
      <c r="B11" s="6">
        <v>4</v>
      </c>
      <c r="C11" s="26"/>
      <c r="D11" s="26"/>
      <c r="E11" s="26"/>
      <c r="F11" s="26"/>
      <c r="G11" s="26"/>
    </row>
    <row r="12" spans="1:7" ht="46.5" x14ac:dyDescent="0.35">
      <c r="A12" s="1" t="s">
        <v>24</v>
      </c>
      <c r="B12" s="22">
        <f>SUM(D16)</f>
        <v>153890.84</v>
      </c>
      <c r="C12" s="26"/>
      <c r="D12" s="26"/>
      <c r="E12" s="26"/>
      <c r="F12" s="26"/>
      <c r="G12" s="26"/>
    </row>
    <row r="13" spans="1:7" ht="15.5" x14ac:dyDescent="0.35">
      <c r="A13" s="1" t="s">
        <v>13</v>
      </c>
      <c r="B13" s="14">
        <v>46235</v>
      </c>
      <c r="C13" s="26"/>
      <c r="D13" s="26"/>
      <c r="E13" s="26"/>
      <c r="F13" s="26"/>
      <c r="G13" s="26"/>
    </row>
    <row r="14" spans="1:7" x14ac:dyDescent="0.35">
      <c r="A14" s="26"/>
      <c r="B14" s="26"/>
      <c r="C14" s="26"/>
      <c r="D14" s="26"/>
      <c r="E14" s="26"/>
      <c r="F14" s="26"/>
      <c r="G14" s="26"/>
    </row>
    <row r="15" spans="1:7" ht="43.5" x14ac:dyDescent="0.35">
      <c r="A15" s="8" t="s">
        <v>1</v>
      </c>
      <c r="B15" s="8" t="s">
        <v>2</v>
      </c>
      <c r="C15" s="8" t="s">
        <v>25</v>
      </c>
      <c r="D15" s="8" t="s">
        <v>10</v>
      </c>
      <c r="E15" s="8" t="s">
        <v>6</v>
      </c>
      <c r="F15" s="8" t="s">
        <v>7</v>
      </c>
      <c r="G15" s="8" t="s">
        <v>9</v>
      </c>
    </row>
    <row r="16" spans="1:7" ht="29" x14ac:dyDescent="0.35">
      <c r="A16" s="4" t="s">
        <v>27</v>
      </c>
      <c r="B16" s="3" t="s">
        <v>26</v>
      </c>
      <c r="C16" s="20">
        <v>181048</v>
      </c>
      <c r="D16" s="20">
        <v>153890.84</v>
      </c>
      <c r="E16" s="20">
        <v>45262</v>
      </c>
      <c r="F16" s="20">
        <v>38472.71</v>
      </c>
      <c r="G16" s="18">
        <f t="shared" ref="G16:G17" si="2">IF(OR(ISBLANK(C16),C16=0),"",(C16-D16)/C16)</f>
        <v>0.1499997790641156</v>
      </c>
    </row>
    <row r="17" spans="1:7" x14ac:dyDescent="0.35">
      <c r="A17" s="27" t="s">
        <v>3</v>
      </c>
      <c r="B17" s="28"/>
      <c r="C17" s="21">
        <f t="shared" ref="C17:F17" si="3">SUM(C16)</f>
        <v>181048</v>
      </c>
      <c r="D17" s="21">
        <f t="shared" si="3"/>
        <v>153890.84</v>
      </c>
      <c r="E17" s="21">
        <f t="shared" si="3"/>
        <v>45262</v>
      </c>
      <c r="F17" s="21">
        <f t="shared" si="3"/>
        <v>38472.71</v>
      </c>
      <c r="G17" s="19">
        <f t="shared" si="2"/>
        <v>0.1499997790641156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selection activeCell="A18" sqref="A18:J31"/>
    </sheetView>
  </sheetViews>
  <sheetFormatPr defaultColWidth="8.6328125" defaultRowHeight="14.5" x14ac:dyDescent="0.35"/>
  <cols>
    <col min="1" max="1" width="30" customWidth="1"/>
    <col min="2" max="2" width="30.1796875" customWidth="1"/>
    <col min="3" max="3" width="27" customWidth="1"/>
    <col min="4" max="4" width="31" customWidth="1"/>
    <col min="5" max="5" width="20.453125" customWidth="1"/>
    <col min="6" max="6" width="14.1796875" style="5" bestFit="1" customWidth="1"/>
    <col min="7" max="7" width="17.453125" style="5" customWidth="1"/>
    <col min="8" max="8" width="14.6328125" style="5" bestFit="1" customWidth="1"/>
    <col min="9" max="9" width="14.1796875" style="5" bestFit="1" customWidth="1"/>
    <col min="10" max="10" width="8.6328125" style="5" customWidth="1"/>
  </cols>
  <sheetData>
    <row r="1" spans="1:10" ht="31" x14ac:dyDescent="0.35">
      <c r="A1" s="1" t="s">
        <v>12</v>
      </c>
      <c r="B1" s="2" t="s">
        <v>26</v>
      </c>
      <c r="E1" s="2"/>
    </row>
    <row r="2" spans="1:10" ht="15.5" x14ac:dyDescent="0.35">
      <c r="A2" s="1" t="s">
        <v>0</v>
      </c>
      <c r="B2" s="6">
        <v>4</v>
      </c>
      <c r="E2" s="2"/>
    </row>
    <row r="3" spans="1:10" ht="46.5" x14ac:dyDescent="0.35">
      <c r="A3" s="1" t="s">
        <v>24</v>
      </c>
      <c r="B3" s="22">
        <f>SUM(G7:G12)</f>
        <v>144496.80000000002</v>
      </c>
      <c r="E3" s="2"/>
    </row>
    <row r="4" spans="1:10" ht="15.5" x14ac:dyDescent="0.35">
      <c r="A4" s="1" t="s">
        <v>13</v>
      </c>
      <c r="B4" s="14">
        <v>46235</v>
      </c>
      <c r="E4" s="2"/>
    </row>
    <row r="5" spans="1:10" ht="15.5" x14ac:dyDescent="0.35">
      <c r="C5" s="1"/>
      <c r="D5" s="2"/>
      <c r="E5" s="2"/>
    </row>
    <row r="6" spans="1:10" ht="43.5" x14ac:dyDescent="0.35">
      <c r="A6" s="7" t="s">
        <v>1</v>
      </c>
      <c r="B6" s="7" t="s">
        <v>2</v>
      </c>
      <c r="C6" s="8" t="s">
        <v>4</v>
      </c>
      <c r="D6" s="8" t="s">
        <v>5</v>
      </c>
      <c r="E6" s="8" t="s">
        <v>23</v>
      </c>
      <c r="F6" s="9" t="s">
        <v>25</v>
      </c>
      <c r="G6" s="9" t="s">
        <v>11</v>
      </c>
      <c r="H6" s="9" t="s">
        <v>8</v>
      </c>
      <c r="I6" s="9" t="s">
        <v>7</v>
      </c>
      <c r="J6" s="9" t="s">
        <v>9</v>
      </c>
    </row>
    <row r="7" spans="1:10" x14ac:dyDescent="0.35">
      <c r="A7" s="29" t="s">
        <v>27</v>
      </c>
      <c r="B7" s="32" t="s">
        <v>26</v>
      </c>
      <c r="C7" s="11" t="s">
        <v>28</v>
      </c>
      <c r="D7" s="12" t="s">
        <v>31</v>
      </c>
      <c r="E7" s="10">
        <v>1</v>
      </c>
      <c r="F7" s="20">
        <v>87840</v>
      </c>
      <c r="G7" s="20">
        <v>79056</v>
      </c>
      <c r="H7" s="20">
        <v>21960</v>
      </c>
      <c r="I7" s="20">
        <v>19764</v>
      </c>
      <c r="J7" s="15">
        <f t="shared" ref="J7:J8" si="0">IF(OR(ISBLANK(F7),F7=0),"",(F7-G7)/F7)</f>
        <v>0.1</v>
      </c>
    </row>
    <row r="8" spans="1:10" x14ac:dyDescent="0.35">
      <c r="A8" s="29"/>
      <c r="B8" s="32" t="s">
        <v>3</v>
      </c>
      <c r="C8" s="36" t="s">
        <v>29</v>
      </c>
      <c r="D8" s="12" t="s">
        <v>32</v>
      </c>
      <c r="E8" s="39">
        <v>2</v>
      </c>
      <c r="F8" s="37">
        <v>7320</v>
      </c>
      <c r="G8" s="37">
        <v>6588</v>
      </c>
      <c r="H8" s="37">
        <v>1830</v>
      </c>
      <c r="I8" s="37">
        <v>1647</v>
      </c>
      <c r="J8" s="38">
        <f t="shared" si="0"/>
        <v>0.1</v>
      </c>
    </row>
    <row r="9" spans="1:10" x14ac:dyDescent="0.35">
      <c r="A9" s="29" t="s">
        <v>3</v>
      </c>
      <c r="B9" s="32"/>
      <c r="C9" s="36"/>
      <c r="D9" s="12" t="s">
        <v>33</v>
      </c>
      <c r="E9" s="39"/>
      <c r="F9" s="37" t="s">
        <v>14</v>
      </c>
      <c r="G9" s="37" t="s">
        <v>15</v>
      </c>
      <c r="H9" s="37" t="s">
        <v>16</v>
      </c>
      <c r="I9" s="37" t="s">
        <v>17</v>
      </c>
      <c r="J9" s="38" t="s">
        <v>18</v>
      </c>
    </row>
    <row r="10" spans="1:10" ht="29" x14ac:dyDescent="0.35">
      <c r="A10" s="29"/>
      <c r="B10" s="32"/>
      <c r="C10" s="11" t="s">
        <v>30</v>
      </c>
      <c r="D10" s="12" t="s">
        <v>34</v>
      </c>
      <c r="E10" s="10">
        <v>1</v>
      </c>
      <c r="F10" s="20">
        <v>8174</v>
      </c>
      <c r="G10" s="20">
        <v>7356.6</v>
      </c>
      <c r="H10" s="20">
        <v>2043.5</v>
      </c>
      <c r="I10" s="20">
        <v>1839.15</v>
      </c>
      <c r="J10" s="15">
        <f t="shared" ref="J10:J14" si="1">IF(OR(ISBLANK(F10),F10=0),"",(F10-G10)/F10)</f>
        <v>9.999999999999995E-2</v>
      </c>
    </row>
    <row r="11" spans="1:10" ht="29" x14ac:dyDescent="0.35">
      <c r="A11" s="29"/>
      <c r="B11" s="32"/>
      <c r="C11" s="11" t="s">
        <v>30</v>
      </c>
      <c r="D11" s="12" t="s">
        <v>35</v>
      </c>
      <c r="E11" s="10">
        <v>1</v>
      </c>
      <c r="F11" s="20">
        <v>40870</v>
      </c>
      <c r="G11" s="20">
        <v>36783</v>
      </c>
      <c r="H11" s="20">
        <v>10217.5</v>
      </c>
      <c r="I11" s="20">
        <v>9195.75</v>
      </c>
      <c r="J11" s="15">
        <f t="shared" si="1"/>
        <v>0.1</v>
      </c>
    </row>
    <row r="12" spans="1:10" x14ac:dyDescent="0.35">
      <c r="A12" s="30"/>
      <c r="B12" s="32"/>
      <c r="C12" s="11" t="s">
        <v>30</v>
      </c>
      <c r="D12" s="12" t="s">
        <v>36</v>
      </c>
      <c r="E12" s="10">
        <v>1</v>
      </c>
      <c r="F12" s="20">
        <v>16348</v>
      </c>
      <c r="G12" s="20">
        <v>14713.2</v>
      </c>
      <c r="H12" s="20">
        <v>4087</v>
      </c>
      <c r="I12" s="20">
        <v>3678.3</v>
      </c>
      <c r="J12" s="15">
        <f t="shared" si="1"/>
        <v>9.999999999999995E-2</v>
      </c>
    </row>
    <row r="13" spans="1:10" x14ac:dyDescent="0.35">
      <c r="A13" s="31"/>
      <c r="B13" s="33" t="s">
        <v>3</v>
      </c>
      <c r="C13" s="34"/>
      <c r="D13" s="34"/>
      <c r="E13" s="35"/>
      <c r="F13" s="23">
        <v>160552</v>
      </c>
      <c r="G13" s="23">
        <v>144496.80000000002</v>
      </c>
      <c r="H13" s="23">
        <v>40138</v>
      </c>
      <c r="I13" s="23">
        <v>36124.200000000004</v>
      </c>
      <c r="J13" s="16">
        <f t="shared" si="1"/>
        <v>9.9999999999999895E-2</v>
      </c>
    </row>
    <row r="14" spans="1:10" x14ac:dyDescent="0.35">
      <c r="A14" s="33" t="s">
        <v>3</v>
      </c>
      <c r="B14" s="34"/>
      <c r="C14" s="34"/>
      <c r="D14" s="34"/>
      <c r="E14" s="35"/>
      <c r="F14" s="23">
        <f t="shared" ref="F14:I14" si="2">SUM(F7:F12)</f>
        <v>160552</v>
      </c>
      <c r="G14" s="23">
        <f t="shared" si="2"/>
        <v>144496.80000000002</v>
      </c>
      <c r="H14" s="23">
        <f t="shared" si="2"/>
        <v>40138</v>
      </c>
      <c r="I14" s="23">
        <f t="shared" si="2"/>
        <v>36124.200000000004</v>
      </c>
      <c r="J14" s="16">
        <f t="shared" si="1"/>
        <v>9.9999999999999895E-2</v>
      </c>
    </row>
    <row r="18" spans="1:10" ht="31" x14ac:dyDescent="0.35">
      <c r="A18" s="1" t="s">
        <v>12</v>
      </c>
      <c r="B18" s="2" t="s">
        <v>26</v>
      </c>
      <c r="C18" s="26"/>
      <c r="D18" s="26"/>
      <c r="E18" s="2"/>
    </row>
    <row r="19" spans="1:10" ht="15.5" x14ac:dyDescent="0.35">
      <c r="A19" s="1" t="s">
        <v>0</v>
      </c>
      <c r="B19" s="6">
        <v>4</v>
      </c>
      <c r="C19" s="26"/>
      <c r="D19" s="26"/>
      <c r="E19" s="2"/>
    </row>
    <row r="20" spans="1:10" ht="46.5" x14ac:dyDescent="0.35">
      <c r="A20" s="1" t="s">
        <v>24</v>
      </c>
      <c r="B20" s="22">
        <f>SUM(G24:G29)</f>
        <v>153890.84</v>
      </c>
      <c r="C20" s="26"/>
      <c r="D20" s="26"/>
      <c r="E20" s="2"/>
    </row>
    <row r="21" spans="1:10" ht="15.5" x14ac:dyDescent="0.35">
      <c r="A21" s="1" t="s">
        <v>13</v>
      </c>
      <c r="B21" s="14">
        <v>46235</v>
      </c>
      <c r="C21" s="26"/>
      <c r="D21" s="26"/>
      <c r="E21" s="2"/>
    </row>
    <row r="22" spans="1:10" ht="15.5" x14ac:dyDescent="0.35">
      <c r="A22" s="26"/>
      <c r="B22" s="26"/>
      <c r="C22" s="1"/>
      <c r="D22" s="2"/>
      <c r="E22" s="2"/>
    </row>
    <row r="23" spans="1:10" ht="43.5" x14ac:dyDescent="0.35">
      <c r="A23" s="7" t="s">
        <v>1</v>
      </c>
      <c r="B23" s="7" t="s">
        <v>2</v>
      </c>
      <c r="C23" s="8" t="s">
        <v>4</v>
      </c>
      <c r="D23" s="8" t="s">
        <v>5</v>
      </c>
      <c r="E23" s="8" t="s">
        <v>23</v>
      </c>
      <c r="F23" s="9" t="s">
        <v>25</v>
      </c>
      <c r="G23" s="9" t="s">
        <v>11</v>
      </c>
      <c r="H23" s="9" t="s">
        <v>8</v>
      </c>
      <c r="I23" s="9" t="s">
        <v>7</v>
      </c>
      <c r="J23" s="9" t="s">
        <v>9</v>
      </c>
    </row>
    <row r="24" spans="1:10" x14ac:dyDescent="0.35">
      <c r="A24" s="29" t="s">
        <v>27</v>
      </c>
      <c r="B24" s="32" t="s">
        <v>26</v>
      </c>
      <c r="C24" s="11" t="s">
        <v>28</v>
      </c>
      <c r="D24" s="12" t="s">
        <v>31</v>
      </c>
      <c r="E24" s="10">
        <v>1</v>
      </c>
      <c r="F24" s="20">
        <v>87840</v>
      </c>
      <c r="G24" s="20">
        <v>74664</v>
      </c>
      <c r="H24" s="20">
        <v>21960</v>
      </c>
      <c r="I24" s="20">
        <v>18666</v>
      </c>
      <c r="J24" s="15">
        <f t="shared" ref="J24:J25" si="3">IF(OR(ISBLANK(F24),F24=0),"",(F24-G24)/F24)</f>
        <v>0.15</v>
      </c>
    </row>
    <row r="25" spans="1:10" x14ac:dyDescent="0.35">
      <c r="A25" s="29"/>
      <c r="B25" s="32" t="s">
        <v>3</v>
      </c>
      <c r="C25" s="36" t="s">
        <v>29</v>
      </c>
      <c r="D25" s="12" t="s">
        <v>32</v>
      </c>
      <c r="E25" s="39">
        <v>2</v>
      </c>
      <c r="F25" s="37">
        <v>7320</v>
      </c>
      <c r="G25" s="37">
        <v>6222</v>
      </c>
      <c r="H25" s="37">
        <v>1830</v>
      </c>
      <c r="I25" s="37">
        <v>1555.5</v>
      </c>
      <c r="J25" s="38">
        <f t="shared" si="3"/>
        <v>0.15</v>
      </c>
    </row>
    <row r="26" spans="1:10" x14ac:dyDescent="0.35">
      <c r="A26" s="29" t="s">
        <v>3</v>
      </c>
      <c r="B26" s="32"/>
      <c r="C26" s="36"/>
      <c r="D26" s="12" t="s">
        <v>33</v>
      </c>
      <c r="E26" s="39"/>
      <c r="F26" s="37" t="s">
        <v>14</v>
      </c>
      <c r="G26" s="37" t="s">
        <v>15</v>
      </c>
      <c r="H26" s="37" t="s">
        <v>16</v>
      </c>
      <c r="I26" s="37" t="s">
        <v>17</v>
      </c>
      <c r="J26" s="38" t="s">
        <v>18</v>
      </c>
    </row>
    <row r="27" spans="1:10" ht="29" x14ac:dyDescent="0.35">
      <c r="A27" s="29"/>
      <c r="B27" s="32"/>
      <c r="C27" s="11" t="s">
        <v>30</v>
      </c>
      <c r="D27" s="12" t="s">
        <v>34</v>
      </c>
      <c r="E27" s="10">
        <v>1</v>
      </c>
      <c r="F27" s="20">
        <v>8174</v>
      </c>
      <c r="G27" s="20">
        <v>6947.92</v>
      </c>
      <c r="H27" s="20">
        <v>2043.5</v>
      </c>
      <c r="I27" s="20">
        <v>1736.98</v>
      </c>
      <c r="J27" s="15">
        <f t="shared" ref="J27:J31" si="4">IF(OR(ISBLANK(F27),F27=0),"",(F27-G27)/F27)</f>
        <v>0.14999755321751895</v>
      </c>
    </row>
    <row r="28" spans="1:10" ht="29" x14ac:dyDescent="0.35">
      <c r="A28" s="29"/>
      <c r="B28" s="32"/>
      <c r="C28" s="11" t="s">
        <v>30</v>
      </c>
      <c r="D28" s="12" t="s">
        <v>40</v>
      </c>
      <c r="E28" s="10">
        <v>1</v>
      </c>
      <c r="F28" s="20">
        <v>51118</v>
      </c>
      <c r="G28" s="20">
        <v>43450.3</v>
      </c>
      <c r="H28" s="20">
        <v>12779.5</v>
      </c>
      <c r="I28" s="20">
        <v>10862.58</v>
      </c>
      <c r="J28" s="15">
        <f t="shared" si="4"/>
        <v>0.14999999999999994</v>
      </c>
    </row>
    <row r="29" spans="1:10" x14ac:dyDescent="0.35">
      <c r="A29" s="29"/>
      <c r="B29" s="32"/>
      <c r="C29" s="11" t="s">
        <v>30</v>
      </c>
      <c r="D29" s="12" t="s">
        <v>41</v>
      </c>
      <c r="E29" s="10">
        <v>1</v>
      </c>
      <c r="F29" s="20">
        <v>26596</v>
      </c>
      <c r="G29" s="20">
        <v>22606.62</v>
      </c>
      <c r="H29" s="20">
        <v>6649</v>
      </c>
      <c r="I29" s="20">
        <v>5651.65</v>
      </c>
      <c r="J29" s="15">
        <f t="shared" si="4"/>
        <v>0.14999924800721917</v>
      </c>
    </row>
    <row r="30" spans="1:10" x14ac:dyDescent="0.35">
      <c r="A30" s="31"/>
      <c r="B30" s="33" t="s">
        <v>3</v>
      </c>
      <c r="C30" s="34"/>
      <c r="D30" s="34"/>
      <c r="E30" s="35"/>
      <c r="F30" s="23">
        <v>181048</v>
      </c>
      <c r="G30" s="23">
        <v>153890.84</v>
      </c>
      <c r="H30" s="23">
        <v>45262</v>
      </c>
      <c r="I30" s="23">
        <v>38472.71</v>
      </c>
      <c r="J30" s="16">
        <f t="shared" si="4"/>
        <v>0.1499997790641156</v>
      </c>
    </row>
    <row r="31" spans="1:10" x14ac:dyDescent="0.35">
      <c r="A31" s="33" t="s">
        <v>3</v>
      </c>
      <c r="B31" s="34"/>
      <c r="C31" s="34"/>
      <c r="D31" s="34"/>
      <c r="E31" s="35"/>
      <c r="F31" s="23">
        <f>SUM(F24:F29)</f>
        <v>181048</v>
      </c>
      <c r="G31" s="23">
        <f>SUM(G24:G29)</f>
        <v>153890.84</v>
      </c>
      <c r="H31" s="23">
        <f>SUM(H24:H29)</f>
        <v>45262</v>
      </c>
      <c r="I31" s="23">
        <f>SUM(I24:I29)</f>
        <v>38472.71</v>
      </c>
      <c r="J31" s="16">
        <f t="shared" si="4"/>
        <v>0.1499997790641156</v>
      </c>
    </row>
  </sheetData>
  <mergeCells count="22">
    <mergeCell ref="F25:F26"/>
    <mergeCell ref="G25:G26"/>
    <mergeCell ref="H25:H26"/>
    <mergeCell ref="I25:I26"/>
    <mergeCell ref="J25:J26"/>
    <mergeCell ref="A24:A30"/>
    <mergeCell ref="B24:B29"/>
    <mergeCell ref="C25:C26"/>
    <mergeCell ref="E25:E26"/>
    <mergeCell ref="B30:E30"/>
    <mergeCell ref="A31:E31"/>
    <mergeCell ref="F8:F9"/>
    <mergeCell ref="G8:G9"/>
    <mergeCell ref="H8:H9"/>
    <mergeCell ref="I8:I9"/>
    <mergeCell ref="J8:J9"/>
    <mergeCell ref="A7:A13"/>
    <mergeCell ref="B7:B12"/>
    <mergeCell ref="A14:E14"/>
    <mergeCell ref="B13:E13"/>
    <mergeCell ref="C8:C9"/>
    <mergeCell ref="E8:E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zoomScale="70" zoomScaleNormal="70" workbookViewId="0">
      <selection activeCell="C13" sqref="C13"/>
    </sheetView>
  </sheetViews>
  <sheetFormatPr defaultColWidth="8.6328125" defaultRowHeight="14.5" x14ac:dyDescent="0.35"/>
  <cols>
    <col min="1" max="1" width="30" customWidth="1"/>
    <col min="2" max="2" width="30.1796875" customWidth="1"/>
    <col min="3" max="3" width="30" customWidth="1"/>
    <col min="4" max="4" width="18.6328125" customWidth="1"/>
    <col min="5" max="5" width="18.1796875" customWidth="1"/>
    <col min="11" max="11" width="13.08984375" customWidth="1"/>
    <col min="12" max="12" width="13.36328125" customWidth="1"/>
    <col min="13" max="13" width="12.08984375" customWidth="1"/>
    <col min="14" max="14" width="12.26953125" customWidth="1"/>
    <col min="15" max="15" width="19.6328125" customWidth="1"/>
  </cols>
  <sheetData>
    <row r="1" spans="1:17" ht="15.5" x14ac:dyDescent="0.35">
      <c r="A1" s="1" t="s">
        <v>13</v>
      </c>
      <c r="B1" s="14">
        <v>46235</v>
      </c>
    </row>
    <row r="2" spans="1:17" ht="47.25" customHeight="1" x14ac:dyDescent="0.35">
      <c r="A2" s="40" t="s">
        <v>21</v>
      </c>
      <c r="B2" s="40"/>
      <c r="C2" s="40"/>
    </row>
    <row r="4" spans="1:17" ht="37" customHeight="1" x14ac:dyDescent="0.35">
      <c r="A4" s="8" t="s">
        <v>1</v>
      </c>
      <c r="B4" s="8" t="s">
        <v>2</v>
      </c>
      <c r="C4" s="8" t="s">
        <v>19</v>
      </c>
      <c r="D4" s="8" t="s">
        <v>20</v>
      </c>
      <c r="E4" s="8" t="s">
        <v>22</v>
      </c>
      <c r="G4" s="42"/>
      <c r="H4" s="42"/>
      <c r="I4" s="43" t="s">
        <v>52</v>
      </c>
      <c r="J4" s="43"/>
      <c r="K4" s="43"/>
      <c r="L4" s="43"/>
      <c r="M4" s="43"/>
      <c r="N4" s="43"/>
      <c r="O4" s="42"/>
      <c r="P4" s="45"/>
    </row>
    <row r="5" spans="1:17" ht="29" customHeight="1" x14ac:dyDescent="0.35">
      <c r="A5" s="41" t="s">
        <v>27</v>
      </c>
      <c r="B5" s="3" t="s">
        <v>26</v>
      </c>
      <c r="C5" s="25" t="s">
        <v>31</v>
      </c>
      <c r="D5" s="24">
        <v>1</v>
      </c>
      <c r="E5" s="24" t="s">
        <v>37</v>
      </c>
      <c r="G5" s="44"/>
      <c r="H5" s="44"/>
      <c r="I5" s="43"/>
      <c r="J5" s="43"/>
      <c r="K5" s="43"/>
      <c r="L5" s="43"/>
      <c r="M5" s="43"/>
      <c r="N5" s="43"/>
      <c r="O5" s="42"/>
    </row>
    <row r="6" spans="1:17" ht="29" x14ac:dyDescent="0.35">
      <c r="A6" s="41"/>
      <c r="B6" s="3" t="s">
        <v>26</v>
      </c>
      <c r="C6" s="25" t="s">
        <v>32</v>
      </c>
      <c r="D6" s="24">
        <v>5</v>
      </c>
      <c r="E6" s="24" t="s">
        <v>38</v>
      </c>
      <c r="G6" s="42"/>
      <c r="H6" s="42"/>
      <c r="I6" s="43"/>
      <c r="J6" s="43"/>
      <c r="K6" s="43"/>
      <c r="L6" s="43"/>
      <c r="M6" s="43"/>
      <c r="N6" s="43"/>
      <c r="O6" s="42"/>
    </row>
    <row r="7" spans="1:17" ht="29" x14ac:dyDescent="0.35">
      <c r="A7" s="41"/>
      <c r="B7" s="3" t="s">
        <v>26</v>
      </c>
      <c r="C7" s="25" t="s">
        <v>33</v>
      </c>
      <c r="D7" s="24">
        <v>2</v>
      </c>
      <c r="E7" s="24" t="s">
        <v>39</v>
      </c>
      <c r="G7" s="46" t="s">
        <v>44</v>
      </c>
      <c r="H7" s="47"/>
      <c r="I7" s="48" t="s">
        <v>45</v>
      </c>
      <c r="J7" s="48" t="s">
        <v>46</v>
      </c>
      <c r="K7" s="48" t="s">
        <v>47</v>
      </c>
      <c r="L7" s="48" t="s">
        <v>48</v>
      </c>
      <c r="M7" s="48" t="s">
        <v>49</v>
      </c>
      <c r="N7" s="48" t="s">
        <v>50</v>
      </c>
      <c r="O7" s="48" t="s">
        <v>51</v>
      </c>
    </row>
    <row r="8" spans="1:17" x14ac:dyDescent="0.35">
      <c r="G8" s="49">
        <v>46143</v>
      </c>
      <c r="H8" s="50"/>
      <c r="I8" s="51">
        <v>1523</v>
      </c>
      <c r="J8" s="51">
        <v>98</v>
      </c>
      <c r="K8" s="51">
        <v>15</v>
      </c>
      <c r="L8" s="51">
        <v>4</v>
      </c>
      <c r="M8" s="51">
        <v>11</v>
      </c>
      <c r="N8" s="52">
        <v>7</v>
      </c>
      <c r="O8" s="53">
        <v>37</v>
      </c>
    </row>
    <row r="9" spans="1:17" x14ac:dyDescent="0.35">
      <c r="G9" s="49">
        <v>46174</v>
      </c>
      <c r="H9" s="50"/>
      <c r="I9" s="51">
        <v>2051</v>
      </c>
      <c r="J9" s="51">
        <v>153</v>
      </c>
      <c r="K9" s="51">
        <v>11</v>
      </c>
      <c r="L9" s="51">
        <v>7</v>
      </c>
      <c r="M9" s="51">
        <v>11</v>
      </c>
      <c r="N9" s="52">
        <v>9</v>
      </c>
      <c r="O9" s="53">
        <v>38</v>
      </c>
      <c r="Q9" s="45"/>
    </row>
    <row r="10" spans="1:17" ht="17" customHeight="1" x14ac:dyDescent="0.35">
      <c r="G10" s="46" t="s">
        <v>3</v>
      </c>
      <c r="H10" s="47"/>
      <c r="I10" s="54">
        <v>3574</v>
      </c>
      <c r="J10" s="54">
        <v>251</v>
      </c>
      <c r="K10" s="54">
        <v>26</v>
      </c>
      <c r="L10" s="54">
        <v>11</v>
      </c>
      <c r="M10" s="54">
        <v>22</v>
      </c>
      <c r="N10" s="55">
        <v>16</v>
      </c>
      <c r="O10" s="54">
        <v>75</v>
      </c>
    </row>
    <row r="14" spans="1:17" ht="34.5" customHeight="1" x14ac:dyDescent="0.35"/>
    <row r="15" spans="1:17" ht="34.5" customHeight="1" x14ac:dyDescent="0.35">
      <c r="G15" s="43" t="s">
        <v>43</v>
      </c>
      <c r="H15" s="43"/>
      <c r="I15" s="43"/>
      <c r="J15" s="43"/>
      <c r="K15" s="43"/>
      <c r="L15" s="43"/>
      <c r="M15" s="43"/>
      <c r="N15" s="43"/>
      <c r="O15" s="43"/>
    </row>
    <row r="16" spans="1:17" ht="28.5" customHeight="1" x14ac:dyDescent="0.35">
      <c r="A16" s="8" t="s">
        <v>1</v>
      </c>
      <c r="B16" s="8" t="s">
        <v>2</v>
      </c>
      <c r="C16" s="8" t="s">
        <v>19</v>
      </c>
      <c r="D16" s="8" t="s">
        <v>20</v>
      </c>
      <c r="E16" s="8" t="s">
        <v>22</v>
      </c>
      <c r="G16" s="56"/>
      <c r="H16" s="56"/>
      <c r="I16" s="56"/>
      <c r="J16" s="56"/>
      <c r="K16" s="56"/>
      <c r="L16" s="56"/>
      <c r="M16" s="56"/>
      <c r="N16" s="56"/>
      <c r="O16" s="56"/>
    </row>
    <row r="17" spans="1:15" ht="29" x14ac:dyDescent="0.35">
      <c r="A17" s="4" t="s">
        <v>27</v>
      </c>
      <c r="B17" s="3" t="s">
        <v>26</v>
      </c>
      <c r="C17" s="25" t="s">
        <v>31</v>
      </c>
      <c r="D17" s="24">
        <v>1</v>
      </c>
      <c r="E17" s="24" t="s">
        <v>37</v>
      </c>
      <c r="G17" s="46" t="s">
        <v>44</v>
      </c>
      <c r="H17" s="47"/>
      <c r="I17" s="48" t="s">
        <v>45</v>
      </c>
      <c r="J17" s="48" t="s">
        <v>46</v>
      </c>
      <c r="K17" s="48" t="s">
        <v>47</v>
      </c>
      <c r="L17" s="48" t="s">
        <v>48</v>
      </c>
      <c r="M17" s="48" t="s">
        <v>49</v>
      </c>
      <c r="N17" s="48" t="s">
        <v>50</v>
      </c>
      <c r="O17" s="48" t="s">
        <v>51</v>
      </c>
    </row>
    <row r="18" spans="1:15" ht="29" customHeight="1" x14ac:dyDescent="0.35">
      <c r="A18" s="4"/>
      <c r="B18" s="3" t="s">
        <v>26</v>
      </c>
      <c r="C18" s="25" t="s">
        <v>32</v>
      </c>
      <c r="D18" s="24">
        <v>6</v>
      </c>
      <c r="E18" s="24" t="s">
        <v>42</v>
      </c>
      <c r="G18" s="49">
        <v>46143</v>
      </c>
      <c r="H18" s="50"/>
      <c r="I18" s="51">
        <v>2394</v>
      </c>
      <c r="J18" s="51">
        <v>201</v>
      </c>
      <c r="K18" s="51">
        <v>20</v>
      </c>
      <c r="L18" s="51">
        <v>5</v>
      </c>
      <c r="M18" s="51">
        <v>15</v>
      </c>
      <c r="N18" s="52">
        <v>26</v>
      </c>
      <c r="O18" s="53">
        <v>66</v>
      </c>
    </row>
    <row r="19" spans="1:15" ht="29" x14ac:dyDescent="0.35">
      <c r="A19" s="4"/>
      <c r="B19" s="3" t="s">
        <v>26</v>
      </c>
      <c r="C19" s="25" t="s">
        <v>33</v>
      </c>
      <c r="D19" s="24">
        <v>3</v>
      </c>
      <c r="E19" s="24" t="s">
        <v>42</v>
      </c>
      <c r="G19" s="49">
        <v>46174</v>
      </c>
      <c r="H19" s="50"/>
      <c r="I19" s="51">
        <v>1976</v>
      </c>
      <c r="J19" s="51">
        <v>162</v>
      </c>
      <c r="K19" s="51">
        <v>16</v>
      </c>
      <c r="L19" s="51">
        <v>6</v>
      </c>
      <c r="M19" s="51">
        <v>20</v>
      </c>
      <c r="N19" s="52">
        <v>17</v>
      </c>
      <c r="O19" s="53">
        <v>59</v>
      </c>
    </row>
    <row r="20" spans="1:15" x14ac:dyDescent="0.35">
      <c r="G20" s="46" t="s">
        <v>3</v>
      </c>
      <c r="H20" s="47"/>
      <c r="I20" s="54">
        <v>4370</v>
      </c>
      <c r="J20" s="54">
        <v>363</v>
      </c>
      <c r="K20" s="54">
        <v>36</v>
      </c>
      <c r="L20" s="54">
        <v>11</v>
      </c>
      <c r="M20" s="54">
        <v>35</v>
      </c>
      <c r="N20" s="55">
        <v>43</v>
      </c>
      <c r="O20" s="54">
        <v>125</v>
      </c>
    </row>
  </sheetData>
  <mergeCells count="13">
    <mergeCell ref="G5:H5"/>
    <mergeCell ref="G7:H7"/>
    <mergeCell ref="G8:H8"/>
    <mergeCell ref="G9:H9"/>
    <mergeCell ref="G10:H10"/>
    <mergeCell ref="I4:N6"/>
    <mergeCell ref="G15:O16"/>
    <mergeCell ref="G20:H20"/>
    <mergeCell ref="G17:H17"/>
    <mergeCell ref="G18:H18"/>
    <mergeCell ref="G19:H19"/>
    <mergeCell ref="A2:C2"/>
    <mergeCell ref="A5:A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320E-6919-4B60-BF87-DC35626BE3C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Итоговый расчет</vt:lpstr>
      <vt:lpstr>Детальный расчет</vt:lpstr>
      <vt:lpstr>Настройка геоконтекста</vt:lpstr>
      <vt:lpstr>Статистика</vt:lpstr>
    </vt:vector>
  </TitlesOfParts>
  <Company>2GIS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Щедрин Александр Владимирович</dc:creator>
  <dc:description>Built from template version 25.11.2025 07:22</dc:description>
  <cp:lastModifiedBy>Щедрин Александр Владимирович</cp:lastModifiedBy>
  <cp:lastPrinted>2026-07-09T07:47:39Z</cp:lastPrinted>
  <dcterms:created xsi:type="dcterms:W3CDTF">2023-03-15T07:44:26Z</dcterms:created>
  <dcterms:modified xsi:type="dcterms:W3CDTF">2026-07-09T08:59:33Z</dcterms:modified>
</cp:coreProperties>
</file>