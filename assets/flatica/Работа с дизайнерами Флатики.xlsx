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dro\Downloads\_STIVINTERIORS\Рассылка\"/>
    </mc:Choice>
  </mc:AlternateContent>
  <xr:revisionPtr revIDLastSave="0" documentId="13_ncr:1_{2DA4D7DA-C38B-43CF-9EEE-F762D2FA8C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Учёт" sheetId="1" r:id="rId1"/>
    <sheet name="Сводка" sheetId="2" r:id="rId2"/>
  </sheets>
  <definedNames>
    <definedName name="_xlnm._FilterDatabase" localSheetId="0" hidden="1">Учёт!$A$1:$N$137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D9" i="2" s="1"/>
  <c r="C3" i="2"/>
  <c r="C9" i="2" s="1"/>
  <c r="B17" i="2" s="1"/>
  <c r="B3" i="2"/>
  <c r="B9" i="2" s="1"/>
</calcChain>
</file>

<file path=xl/sharedStrings.xml><?xml version="1.0" encoding="utf-8"?>
<sst xmlns="http://schemas.openxmlformats.org/spreadsheetml/2006/main" count="1023" uniqueCount="570">
  <si>
    <t>№</t>
  </si>
  <si>
    <t>Пачка</t>
  </si>
  <si>
    <t>Дизайнер</t>
  </si>
  <si>
    <t>Email</t>
  </si>
  <si>
    <t>Телефон</t>
  </si>
  <si>
    <t>Город</t>
  </si>
  <si>
    <t>Тема письма (зацепка)</t>
  </si>
  <si>
    <t>Вариант</t>
  </si>
  <si>
    <t>Отправлено</t>
  </si>
  <si>
    <t>Ответ: дата</t>
  </si>
  <si>
    <t>Ответ: тип</t>
  </si>
  <si>
    <t>Наш ответ / follow-up: дата</t>
  </si>
  <si>
    <t>Статус диалога</t>
  </si>
  <si>
    <t>Заметки</t>
  </si>
  <si>
    <t>campaign1</t>
  </si>
  <si>
    <t>Ксения Разинкина</t>
  </si>
  <si>
    <t>razinkina_kseniya@mail.ru</t>
  </si>
  <si>
    <t>г. Москва</t>
  </si>
  <si>
    <t>Про «Студия 24 кв. м.»</t>
  </si>
  <si>
    <t>A</t>
  </si>
  <si>
    <t>07.07.2026</t>
  </si>
  <si>
    <t>Анна и Дмитрий Коробко</t>
  </si>
  <si>
    <t>d.a.interiordesign@mail.ru</t>
  </si>
  <si>
    <t>г Москва</t>
  </si>
  <si>
    <t>Про «Квартира для молодой семьи 60м.кв.»</t>
  </si>
  <si>
    <t>B</t>
  </si>
  <si>
    <t>Дизайн-студия «RiDiS PrO»</t>
  </si>
  <si>
    <t>studio.ridis@yandex.ru</t>
  </si>
  <si>
    <t>79939645908</t>
  </si>
  <si>
    <t>Про «Гостевой дом в Сочи с дизайном класса люкс»</t>
  </si>
  <si>
    <t>КубКвадрат студия</t>
  </si>
  <si>
    <t>info@kubkvadrat.ru</t>
  </si>
  <si>
    <t>79057115735</t>
  </si>
  <si>
    <t>Про «Не белый»</t>
  </si>
  <si>
    <t>Александр Липатов</t>
  </si>
  <si>
    <t>Lh-studio@mail.ru</t>
  </si>
  <si>
    <t>Про «Спальный отсек для близнецов - первооткрывателей дальнего космоса»</t>
  </si>
  <si>
    <t>положительный</t>
  </si>
  <si>
    <t>диалог</t>
  </si>
  <si>
    <t>Попросил развёрнутую информацию. Отправлен полный follow-up: материалы, схема работы, презентация v2.</t>
  </si>
  <si>
    <t>Полина Уютная</t>
  </si>
  <si>
    <t>polina_u_1999@mail.ru</t>
  </si>
  <si>
    <t>Про ваш профиль на Флатике</t>
  </si>
  <si>
    <t>review</t>
  </si>
  <si>
    <t>08.07.2026</t>
  </si>
  <si>
    <t>Ксения Попова</t>
  </si>
  <si>
    <t>hello@ksyuschenka.com</t>
  </si>
  <si>
    <t>79523558208</t>
  </si>
  <si>
    <t>Про «Кухня-гостиная в ЖК «Резиденции Сколково»»</t>
  </si>
  <si>
    <t>Евгения Заварзина</t>
  </si>
  <si>
    <t>zavarzina.evgeniya@yandex.ru</t>
  </si>
  <si>
    <t>Yurov Interiors</t>
  </si>
  <si>
    <t>yurov-interiors@mail.ru</t>
  </si>
  <si>
    <t>79034356354</t>
  </si>
  <si>
    <t>Про «River Sky»</t>
  </si>
  <si>
    <t>campaign2</t>
  </si>
  <si>
    <t>Любовь Крыгина</t>
  </si>
  <si>
    <t>l_krygina_design@mail.ru</t>
  </si>
  <si>
    <t>Про «Летний сад, 4х комнатная квартира»</t>
  </si>
  <si>
    <t>Ксения Петрова</t>
  </si>
  <si>
    <t>PEtrovaKS1983@yandex.ru</t>
  </si>
  <si>
    <t>Про «Современная классика с элементами арт-деко»</t>
  </si>
  <si>
    <t>отказ</t>
  </si>
  <si>
    <t>закрыто</t>
  </si>
  <si>
    <t>«Есть постоянный партнёр по мебели». Отправлен короткий необязывающий ответ, остаёмся на связи.</t>
  </si>
  <si>
    <t>Екатерина Пимкина</t>
  </si>
  <si>
    <t>pimkinak@bk.ru</t>
  </si>
  <si>
    <t>Про «Дом на Новой Риге»</t>
  </si>
  <si>
    <t>Ольга Петрова</t>
  </si>
  <si>
    <t>olia.i.petrova@gmail.com</t>
  </si>
  <si>
    <t>9197772519</t>
  </si>
  <si>
    <t>Про «Мечты о море Франции»</t>
  </si>
  <si>
    <t>Olga Karpova</t>
  </si>
  <si>
    <t>h.d.studio@mail.ru</t>
  </si>
  <si>
    <t>Про «Детский центр в Кемпински Гранд Отель Геленджик»</t>
  </si>
  <si>
    <t>Письмо ушло дважды 08.07 (ручные тестовые запуски до файловой блокировки).</t>
  </si>
  <si>
    <t>Александра Гартке</t>
  </si>
  <si>
    <t>aleksandra.gartke@mail.ru</t>
  </si>
  <si>
    <t>79690346046</t>
  </si>
  <si>
    <t>Про «Квартира в ЖК Сердце Столицы»</t>
  </si>
  <si>
    <t>09.07.2026</t>
  </si>
  <si>
    <t>Светлана Люзина</t>
  </si>
  <si>
    <t>lyuzina.lyuzina@yandex.ru</t>
  </si>
  <si>
    <t>Про «Коттедж в посёлке «Павлово»»</t>
  </si>
  <si>
    <t>Наталья Балашова</t>
  </si>
  <si>
    <t>natalyarch@yandex.ru</t>
  </si>
  <si>
    <t>9645051262</t>
  </si>
  <si>
    <t>Про «ЖК Onyx Deluxe»</t>
  </si>
  <si>
    <t>Игорь Самойлов</t>
  </si>
  <si>
    <t>archijam@yandex.ru</t>
  </si>
  <si>
    <t>79053349990</t>
  </si>
  <si>
    <t>УММ5 | Студия современного интерьера</t>
  </si>
  <si>
    <t>umm2005@mail.ru</t>
  </si>
  <si>
    <t>79814643931</t>
  </si>
  <si>
    <t>Про «Квартира 103м² в ЖК Famous, г. Москва»</t>
  </si>
  <si>
    <t>Студия дизайна и ремонта Katushhha</t>
  </si>
  <si>
    <t>logvinova-7777@mail.ru</t>
  </si>
  <si>
    <t>79967896686</t>
  </si>
  <si>
    <t>г. Россия</t>
  </si>
  <si>
    <t>Про «Дом французская классика»</t>
  </si>
  <si>
    <t>Ирина Бирюкова</t>
  </si>
  <si>
    <t>limartgroup@mail.ru</t>
  </si>
  <si>
    <t>79257555068</t>
  </si>
  <si>
    <t>Про «Усадьба Шарапово»</t>
  </si>
  <si>
    <t>деловой запрос</t>
  </si>
  <si>
    <t>13.07.2026</t>
  </si>
  <si>
    <t>расчёт изделия</t>
  </si>
  <si>
    <t>«Скиньте работы, стоимость, сроки и условия». 13.07 отправлен ответ по 4 пунктам + презентация v2, предложен расчёт изделия из её проекта.</t>
  </si>
  <si>
    <t>Алиса Баронова</t>
  </si>
  <si>
    <t>baronovaalisa@gmail.com</t>
  </si>
  <si>
    <t>79185031519</t>
  </si>
  <si>
    <t>Про «Роза пустыни»</t>
  </si>
  <si>
    <t>Сузанна Тасалиева</t>
  </si>
  <si>
    <t>susanna0939@yandex.ru</t>
  </si>
  <si>
    <t>79210091675</t>
  </si>
  <si>
    <t>г Калининград</t>
  </si>
  <si>
    <t>Про «Дом в Черняховске»</t>
  </si>
  <si>
    <t>Виктория Ретинская</t>
  </si>
  <si>
    <t>retinskaya.vika@gmail.com</t>
  </si>
  <si>
    <t>79181575449</t>
  </si>
  <si>
    <t>Про «ЖК Граф Толстой»</t>
  </si>
  <si>
    <t>campaign3</t>
  </si>
  <si>
    <t>Татьяна Алякова</t>
  </si>
  <si>
    <t>tna@alta-design.ru</t>
  </si>
  <si>
    <t>Про «Домик беседующих стихий»</t>
  </si>
  <si>
    <t>10.07.2026</t>
  </si>
  <si>
    <t>SIMPLE HOME</t>
  </si>
  <si>
    <t>simple.home.m@yandex.ru</t>
  </si>
  <si>
    <t>Про «Проект ЖК Триумф Палас»</t>
  </si>
  <si>
    <t>Алёна Чекалина</t>
  </si>
  <si>
    <t>info@des-ign.ru</t>
  </si>
  <si>
    <t>79166502951</t>
  </si>
  <si>
    <t>Про «Модная панелька»</t>
  </si>
  <si>
    <t>Студия интерьера BACARDI</t>
  </si>
  <si>
    <t>panknat@list.ru</t>
  </si>
  <si>
    <t>79165521215</t>
  </si>
  <si>
    <t>Про «Реализованный проект ЖК Фридом»</t>
  </si>
  <si>
    <t>Виктория Власова</t>
  </si>
  <si>
    <t>info@victoriavlasova.ru</t>
  </si>
  <si>
    <t>79037980940</t>
  </si>
  <si>
    <t>Про «Квартира в сталинском доме на Фрунзенской»</t>
  </si>
  <si>
    <t>Марина Терновая</t>
  </si>
  <si>
    <t>tma704@yandex.ru</t>
  </si>
  <si>
    <t>9060502502</t>
  </si>
  <si>
    <t>Про «ЖК 2119»</t>
  </si>
  <si>
    <t>мастерская VVERHDNOM</t>
  </si>
  <si>
    <t>info@vverhdnom.com</t>
  </si>
  <si>
    <t>79162989393</t>
  </si>
  <si>
    <t>Про "Королев, ЖК "Театральный Парк"</t>
  </si>
  <si>
    <t>Ольга Задорожная</t>
  </si>
  <si>
    <t>olgaglushko25@gmail.com</t>
  </si>
  <si>
    <t>9162403584</t>
  </si>
  <si>
    <t>Про «ЖК Башни Токио 50м2»</t>
  </si>
  <si>
    <t>Полина Епифанова</t>
  </si>
  <si>
    <t>pillar79@gmail.com</t>
  </si>
  <si>
    <t>Про «Завидово»</t>
  </si>
  <si>
    <t>A@A Дизайн-Артель Алина Горда</t>
  </si>
  <si>
    <t>gorda.art@mail.ru</t>
  </si>
  <si>
    <t>Про «Ресторан "Мальдивы"»</t>
  </si>
  <si>
    <t>Андрей и Елена Некрасовы</t>
  </si>
  <si>
    <t>na.design@mail.ru</t>
  </si>
  <si>
    <t>79163961676</t>
  </si>
  <si>
    <t>Про «ЖК Небо»</t>
  </si>
  <si>
    <t>4room studio</t>
  </si>
  <si>
    <t>hello@4room.studio</t>
  </si>
  <si>
    <t>Про «Дом в Малаховке»</t>
  </si>
  <si>
    <t>Дмитрий Глушков</t>
  </si>
  <si>
    <t>ab-glushkov@mail.ru</t>
  </si>
  <si>
    <t>Про «Кабинет для адвоката»</t>
  </si>
  <si>
    <t>VIVENDI DESIGN</t>
  </si>
  <si>
    <t>vivendistudio@gmail.com</t>
  </si>
  <si>
    <t>79265249075</t>
  </si>
  <si>
    <t>Про «Апартаменты, 126 кв.м.»</t>
  </si>
  <si>
    <t>Елена Лучина</t>
  </si>
  <si>
    <t>eeluchina@gmail.com</t>
  </si>
  <si>
    <t>79104082287</t>
  </si>
  <si>
    <t>Про «ЖК Настоящее»</t>
  </si>
  <si>
    <t>campaign4</t>
  </si>
  <si>
    <t>Анна Царева</t>
  </si>
  <si>
    <t>russua.anna@ya.ru</t>
  </si>
  <si>
    <t>9207539997</t>
  </si>
  <si>
    <t>г Тула</t>
  </si>
  <si>
    <t>Про «Гостевая комната в неоклассике 15 м2»</t>
  </si>
  <si>
    <t>Олеся Бирюкова</t>
  </si>
  <si>
    <t>info@line-interior.ru</t>
  </si>
  <si>
    <t>79168346076</t>
  </si>
  <si>
    <t>Про "ЖК Аквилон"</t>
  </si>
  <si>
    <t>E2ART. Илья и Евгения Емельяновы</t>
  </si>
  <si>
    <t>e2-art@mail.ru</t>
  </si>
  <si>
    <t>79265886443</t>
  </si>
  <si>
    <t>Про «ЖК Лефортово парк»</t>
  </si>
  <si>
    <t>Ксения Артамонова (Литвинова)</t>
  </si>
  <si>
    <t>2260873@mail.ru</t>
  </si>
  <si>
    <t>79262260873</t>
  </si>
  <si>
    <t>Про «ЖК "Wine House"»</t>
  </si>
  <si>
    <t>Юлия Савельева</t>
  </si>
  <si>
    <t>aphex@inbox.ru</t>
  </si>
  <si>
    <t>79260713794</t>
  </si>
  <si>
    <t>г Красногорск</t>
  </si>
  <si>
    <t>Про «Чердак для творческих детей»</t>
  </si>
  <si>
    <t>Наталья Астахова</t>
  </si>
  <si>
    <t>astakhova.nata@list.ru</t>
  </si>
  <si>
    <t>Про «Квартира для семьи с двумя детьми на ВДНХ»</t>
  </si>
  <si>
    <t>Шоколад Design Project</t>
  </si>
  <si>
    <t>info@shoko.kz</t>
  </si>
  <si>
    <t>77773605551</t>
  </si>
  <si>
    <t>Про «Bearbrick House»</t>
  </si>
  <si>
    <t>Марина Орлова</t>
  </si>
  <si>
    <t>v_studio@mail.ru</t>
  </si>
  <si>
    <t>79088743878</t>
  </si>
  <si>
    <t>Про «Квартира в ЖК «Ожогина»»</t>
  </si>
  <si>
    <t>Альфия Гущина</t>
  </si>
  <si>
    <t>alf819@mail.ru</t>
  </si>
  <si>
    <t>79539834077</t>
  </si>
  <si>
    <t>г. На</t>
  </si>
  <si>
    <t>Про «ЖК Павелецкая»</t>
  </si>
  <si>
    <t>Ирина Леонова</t>
  </si>
  <si>
    <t>leones-design@mail.ru</t>
  </si>
  <si>
    <t>Про «Мастер спальня в КП Новорижский»</t>
  </si>
  <si>
    <t>Зоя Бабушкина</t>
  </si>
  <si>
    <t>perception1-1@yandex.ru</t>
  </si>
  <si>
    <t>9067685558</t>
  </si>
  <si>
    <t>Про «Интерьер по Васту с этническим настроением»</t>
  </si>
  <si>
    <t>Ирина Клочко</t>
  </si>
  <si>
    <t>dizain-online@yandex.ru</t>
  </si>
  <si>
    <t>79262534830</t>
  </si>
  <si>
    <t>Про «Проект Хаусбота в отеле на воде»</t>
  </si>
  <si>
    <t>Дизайн студия 2912</t>
  </si>
  <si>
    <t>designstudio@2912.ru</t>
  </si>
  <si>
    <t>79123000029</t>
  </si>
  <si>
    <t>Про «ЖК RedSide»</t>
  </si>
  <si>
    <t>Александр Юсипов</t>
  </si>
  <si>
    <t>a-lex79@mail.ru</t>
  </si>
  <si>
    <t>79169500985</t>
  </si>
  <si>
    <t>Про «Квартира в Куркино»</t>
  </si>
  <si>
    <t>Евгения Биркая</t>
  </si>
  <si>
    <t>birkaya@yandex.ru</t>
  </si>
  <si>
    <t>79162104236</t>
  </si>
  <si>
    <t>Про «ЖК Царская площадь»</t>
  </si>
  <si>
    <t>Анастасия Ромашова</t>
  </si>
  <si>
    <t>romashovanastasia@mail.ru</t>
  </si>
  <si>
    <t>79159255459</t>
  </si>
  <si>
    <t>Про «Детская для девочек»</t>
  </si>
  <si>
    <t>campaign5</t>
  </si>
  <si>
    <t>Ксения Брус</t>
  </si>
  <si>
    <t>rainbowlotusdesign@gmail.com</t>
  </si>
  <si>
    <t>79165467381</t>
  </si>
  <si>
    <t>Про «Вилла на побережье Монако»</t>
  </si>
  <si>
    <t>Елена Гребенщикова</t>
  </si>
  <si>
    <t>gr.lenk@yandex.ru</t>
  </si>
  <si>
    <t>79035477416</t>
  </si>
  <si>
    <t>Про «ЖК «Вавилова 4»»</t>
  </si>
  <si>
    <t>Елена Феттаева</t>
  </si>
  <si>
    <t>fesstudio@yandex.ru</t>
  </si>
  <si>
    <t>9167373837</t>
  </si>
  <si>
    <t>Про «Дизайн проект загородного дома»</t>
  </si>
  <si>
    <t>Лена Воронцова</t>
  </si>
  <si>
    <t>ev775522@gmail.com</t>
  </si>
  <si>
    <t>79253000107</t>
  </si>
  <si>
    <t>Про «Luxury residence Victoria Park, Fort Lauderdale, FL, USA»</t>
  </si>
  <si>
    <t>Александра Филатова</t>
  </si>
  <si>
    <t>info@ai-p.one</t>
  </si>
  <si>
    <t>9266003901</t>
  </si>
  <si>
    <t>Про «ЖК Сердце Столицы»</t>
  </si>
  <si>
    <t>Юлия Резник</t>
  </si>
  <si>
    <t>reznik-yuliya@inbox.ru</t>
  </si>
  <si>
    <t>79893616198</t>
  </si>
  <si>
    <t>Про «ЖК Панорама парк Сосновка»</t>
  </si>
  <si>
    <t>Сергей Гринцов</t>
  </si>
  <si>
    <t>sergei.artlabor@gmail.com</t>
  </si>
  <si>
    <t>79660560426</t>
  </si>
  <si>
    <t>Про «Гостиная двухэтажной квартиры для молодого одинокого мужчины в Москве»</t>
  </si>
  <si>
    <t>Татьяна Сизова</t>
  </si>
  <si>
    <t>tatyana858585@inbox.ru</t>
  </si>
  <si>
    <t>9032259428</t>
  </si>
  <si>
    <t>Про «ЖК "Ривер Парк"»</t>
  </si>
  <si>
    <t>Лариса Паромчик</t>
  </si>
  <si>
    <t>i@lparomchik.ru</t>
  </si>
  <si>
    <t>about</t>
  </si>
  <si>
    <t>Алёна Крюкова</t>
  </si>
  <si>
    <t>alenak-des@yandex.ru</t>
  </si>
  <si>
    <t>79853307239</t>
  </si>
  <si>
    <t>Про «Прайм Парк»</t>
  </si>
  <si>
    <t>StartDesign Студия дизайна интерьера</t>
  </si>
  <si>
    <t>79216321808@mail.ru</t>
  </si>
  <si>
    <t>9216321808</t>
  </si>
  <si>
    <t>г. Санкт-Петербург</t>
  </si>
  <si>
    <t>Про «Клубный дом "Идеалист" 100м2»</t>
  </si>
  <si>
    <t>Яна Ярашева</t>
  </si>
  <si>
    <t>yanayarasheva@mail.ru</t>
  </si>
  <si>
    <t>79933470987</t>
  </si>
  <si>
    <t>Про «Победитель конкурса "Лучший проект 2025"»</t>
  </si>
  <si>
    <t>Валентина Мамонтова</t>
  </si>
  <si>
    <t>s.well.studio@mail.ru</t>
  </si>
  <si>
    <t>79167053728</t>
  </si>
  <si>
    <t>Про «ЖК Никольская Панорама»</t>
  </si>
  <si>
    <t>BUREAU BASIS</t>
  </si>
  <si>
    <t>bureau.basis@yandex.ru</t>
  </si>
  <si>
    <t>79137958380</t>
  </si>
  <si>
    <t>Илья Шкода</t>
  </si>
  <si>
    <t>shkoda-ilya@mail.ru</t>
  </si>
  <si>
    <t>79067105988</t>
  </si>
  <si>
    <t>г. Звенигорода</t>
  </si>
  <si>
    <t>Про «Реконструкция дома 800 м2»</t>
  </si>
  <si>
    <t>Katya Baryshnikova</t>
  </si>
  <si>
    <t>katysha-74@yandex.ru</t>
  </si>
  <si>
    <t>79514455522</t>
  </si>
  <si>
    <t>Про «Black mood. Realization»</t>
  </si>
  <si>
    <t>Андрей Егоров</t>
  </si>
  <si>
    <t>bestrei@mail.ru</t>
  </si>
  <si>
    <t>9209766606</t>
  </si>
  <si>
    <t>Про «Проект Скандинавия»</t>
  </si>
  <si>
    <t>Юлия Транова</t>
  </si>
  <si>
    <t>sur7771@mail.ru</t>
  </si>
  <si>
    <t>79806418394</t>
  </si>
  <si>
    <t>Про «Дизайн проект частного дома. Таиланд»</t>
  </si>
  <si>
    <t>Светлана Пахомова</t>
  </si>
  <si>
    <t>gogen17@mail.ru</t>
  </si>
  <si>
    <t>79826533903</t>
  </si>
  <si>
    <t>г Екатеринбург</t>
  </si>
  <si>
    <t>Про «Полный Льюис Кэролл»</t>
  </si>
  <si>
    <t>Алекандра Спицына</t>
  </si>
  <si>
    <t>sspitcina@list.ru</t>
  </si>
  <si>
    <t>Про «Банкетный зал в стиле шале»</t>
  </si>
  <si>
    <t>Оксана Савчук</t>
  </si>
  <si>
    <t>savdom13@list.ru</t>
  </si>
  <si>
    <t>Про «ЖК Искра парк»</t>
  </si>
  <si>
    <t>PRO Interior Design PROID.studio</t>
  </si>
  <si>
    <t>notprofile@ya.ru</t>
  </si>
  <si>
    <t>79035801914</t>
  </si>
  <si>
    <t>Про «Дизайн-проект интерьера в ЖК Летний сад»</t>
  </si>
  <si>
    <t>campaign6</t>
  </si>
  <si>
    <t>Ирина Козлова</t>
  </si>
  <si>
    <t>boutiqueyh@gmail.com</t>
  </si>
  <si>
    <t>Ольга Амелькина</t>
  </si>
  <si>
    <t>olam18@yandex.ru</t>
  </si>
  <si>
    <t>Про «ЖК Зиларт»</t>
  </si>
  <si>
    <t>Студия дизайна интерьеров OD</t>
  </si>
  <si>
    <t>francyzhenka@inbox.ru</t>
  </si>
  <si>
    <t>Про «Крузенштерна»</t>
  </si>
  <si>
    <t>Александра Осечкина</t>
  </si>
  <si>
    <t>estetika.home@yandex.ru</t>
  </si>
  <si>
    <t>79684078792</t>
  </si>
  <si>
    <t>Про «ЖК Сидней Сити»</t>
  </si>
  <si>
    <t>Жанна Письменская</t>
  </si>
  <si>
    <t>metry.peremen@gmail.com</t>
  </si>
  <si>
    <t>79267165770</t>
  </si>
  <si>
    <t>Про «Жилой комплекс "Крылья" (площадь 106 м2)»</t>
  </si>
  <si>
    <t>Ольга Носова</t>
  </si>
  <si>
    <t>olgui.nosova@gmail.com</t>
  </si>
  <si>
    <t>79104634612</t>
  </si>
  <si>
    <t>Про «Апартаменты ЖК "Савеловский сити"»</t>
  </si>
  <si>
    <t>Александра Благова Дмитрий Катсалидис</t>
  </si>
  <si>
    <t>katsalidis@gmail.com</t>
  </si>
  <si>
    <t>79167786712</t>
  </si>
  <si>
    <t>Про «Индивидуальный жилой дом в КП "Мэдисон Парк"»</t>
  </si>
  <si>
    <t>Надежда Жиленкова</t>
  </si>
  <si>
    <t>n-deco@mail.ru</t>
  </si>
  <si>
    <t>Про «Пять оттенков лофта»</t>
  </si>
  <si>
    <t>Елена Шадрина</t>
  </si>
  <si>
    <t>shadrinaea@gmail.com</t>
  </si>
  <si>
    <t>79169167314</t>
  </si>
  <si>
    <t>ARH STUDIO PROJECTS</t>
  </si>
  <si>
    <t>info@studio-arh-a.ru</t>
  </si>
  <si>
    <t>9263181945</t>
  </si>
  <si>
    <t>Про «Дизайн проект детской комнаты»</t>
  </si>
  <si>
    <t>Вера Подзолко</t>
  </si>
  <si>
    <t>verart87@mail.ru</t>
  </si>
  <si>
    <t>Про «Квартира на Веерной, г. Москва»</t>
  </si>
  <si>
    <t>Кристина Серобян</t>
  </si>
  <si>
    <t>kristinasero@gmail.com</t>
  </si>
  <si>
    <t>79637657895</t>
  </si>
  <si>
    <t>Про «Гостевой дом с сауной»</t>
  </si>
  <si>
    <t>Евгения Ямова</t>
  </si>
  <si>
    <t>evyaart@gmail.com</t>
  </si>
  <si>
    <t>Про «Банный клуб "Бурдугуз"»</t>
  </si>
  <si>
    <t>Марина Аскерова</t>
  </si>
  <si>
    <t>marina-askerova@ya.ru</t>
  </si>
  <si>
    <t>9255447014</t>
  </si>
  <si>
    <t>Про «Планировочное решение однокомнатной квартиры в ЖК "Видный берег"»</t>
  </si>
  <si>
    <t>Лидия Вдовина</t>
  </si>
  <si>
    <t>lidon81@gmail.com</t>
  </si>
  <si>
    <t>Про «Квартира в ЖК "Прайм-Парк"»</t>
  </si>
  <si>
    <t>Валентина Новгородова</t>
  </si>
  <si>
    <t>nvv.design@yandex.ru</t>
  </si>
  <si>
    <t>Про «Коттедж Ковалево-Родники»</t>
  </si>
  <si>
    <t>Елена Богатырева</t>
  </si>
  <si>
    <t>bogatureva-project@mail.ru</t>
  </si>
  <si>
    <t>79037871888</t>
  </si>
  <si>
    <t>GASTELLO Design</t>
  </si>
  <si>
    <t>gastello_design@mail.ru</t>
  </si>
  <si>
    <t>79163939883</t>
  </si>
  <si>
    <t>Про «ЖК Волынский (пентхаус) (184 м²)»</t>
  </si>
  <si>
    <t>Ирина Голдоберина</t>
  </si>
  <si>
    <t>irinagoldoberina@gmail.com</t>
  </si>
  <si>
    <t>79019098456</t>
  </si>
  <si>
    <t>Про «ЖК "Level Мичуринский"»</t>
  </si>
  <si>
    <t>Елена Клименко</t>
  </si>
  <si>
    <t>klimenkoev90@mail.ru</t>
  </si>
  <si>
    <t>79163247194</t>
  </si>
  <si>
    <t>Про «Квартира в ЖК «Метрополия»»</t>
  </si>
  <si>
    <t>Рустэм Уразметов</t>
  </si>
  <si>
    <t>rustem.u@mail.ru</t>
  </si>
  <si>
    <t>79264669813</t>
  </si>
  <si>
    <t>Про «Саларьево парк»</t>
  </si>
  <si>
    <t>Андрей Быков</t>
  </si>
  <si>
    <t>mertvovod@yandex.ru</t>
  </si>
  <si>
    <t>79277240328</t>
  </si>
  <si>
    <t>Про «Проект. Дом в КП Новогорск-Клаб»</t>
  </si>
  <si>
    <t>Денис Лычко</t>
  </si>
  <si>
    <t>info@denislychko.ru</t>
  </si>
  <si>
    <t>79639609063</t>
  </si>
  <si>
    <t>Про «Arkhyz 950 - White Stone»</t>
  </si>
  <si>
    <t>Оксана Кулешова</t>
  </si>
  <si>
    <t>oxana.kul@gmail.com</t>
  </si>
  <si>
    <t>Про «Печной комплекс»</t>
  </si>
  <si>
    <t>desao.ru</t>
  </si>
  <si>
    <t>orelldes@mail.ru</t>
  </si>
  <si>
    <t>79690106547</t>
  </si>
  <si>
    <t>Про «КП Соловьи 310м.кв.»</t>
  </si>
  <si>
    <t>Сергей Саргин</t>
  </si>
  <si>
    <t>ds-darsing@mail.ru</t>
  </si>
  <si>
    <t>Про «Акварельные эскизы к проекту: Загородного дома в стиле Прованс»</t>
  </si>
  <si>
    <t>Avetta Design. Елизавета Филиппова</t>
  </si>
  <si>
    <t>avettadesign@ya.ru</t>
  </si>
  <si>
    <t>79161975070</t>
  </si>
  <si>
    <t>Про «Level Бауманская»</t>
  </si>
  <si>
    <t>Мария Цепкова</t>
  </si>
  <si>
    <t>sage_des@mail.ru</t>
  </si>
  <si>
    <t>79018953793</t>
  </si>
  <si>
    <t>Про «Современная классика с драматическим акцентом»</t>
  </si>
  <si>
    <t>Диана Миронова</t>
  </si>
  <si>
    <t>di.miro@mail.ru</t>
  </si>
  <si>
    <t>79139282435</t>
  </si>
  <si>
    <t>Про «Апартаменты "Флотилия"»</t>
  </si>
  <si>
    <t>Анна Пруцкова</t>
  </si>
  <si>
    <t>anna-styleidea@yandex.ru</t>
  </si>
  <si>
    <t>79165140286</t>
  </si>
  <si>
    <t>Про «Зубная клиника»</t>
  </si>
  <si>
    <t>Елена Сабитова</t>
  </si>
  <si>
    <t>es.v@mail.ru</t>
  </si>
  <si>
    <t>79255447714</t>
  </si>
  <si>
    <t>Про «Средиземноморский стиль Таун Хаус 160м»</t>
  </si>
  <si>
    <t>Студия дизайна Екатерины Костыриной</t>
  </si>
  <si>
    <t>ekaterina@kostyrina-design.ru</t>
  </si>
  <si>
    <t>79779701201</t>
  </si>
  <si>
    <t>Про «Семейный интерьер с чертами ваби-саби в ЖК «Остров» 140 м²»</t>
  </si>
  <si>
    <t>Екатерина Евтихиева</t>
  </si>
  <si>
    <t>evtikhieva98@mail.ru</t>
  </si>
  <si>
    <t>Про «Редизайн кухни в стиле модерн с антикварной мебелью»</t>
  </si>
  <si>
    <t>Кристина Денежкина</t>
  </si>
  <si>
    <t>dkseodirect@yandex.ru</t>
  </si>
  <si>
    <t>79852187399</t>
  </si>
  <si>
    <t>г. Чем</t>
  </si>
  <si>
    <t>Про «Дизайн проект 3 комнатной квартиры — ЖК Скандинавия»</t>
  </si>
  <si>
    <t>Виктория Трусевич</t>
  </si>
  <si>
    <t>envodesign97@gmail.com</t>
  </si>
  <si>
    <t>79253433764</t>
  </si>
  <si>
    <t>Про «ЖК Wellton Towers»</t>
  </si>
  <si>
    <t>Эвелина Ташкина</t>
  </si>
  <si>
    <t>evelin_evam@mail.ru</t>
  </si>
  <si>
    <t>79991549732</t>
  </si>
  <si>
    <t>Отделка+</t>
  </si>
  <si>
    <t>otdelkaplusmsk@mail.ru</t>
  </si>
  <si>
    <t>Про «Отделка в ЖК «Достижение» - 2-комнатная квартира площадью 38 м2»</t>
  </si>
  <si>
    <t>Елена Черепанова</t>
  </si>
  <si>
    <t>evarnakova@rambler.ru</t>
  </si>
  <si>
    <t>79261523007</t>
  </si>
  <si>
    <t>Про «Стоматологическая частная клиника»</t>
  </si>
  <si>
    <t>Oksana Barnash</t>
  </si>
  <si>
    <t>obarnash@mail.ru</t>
  </si>
  <si>
    <t>9252291029</t>
  </si>
  <si>
    <t>г.Москва</t>
  </si>
  <si>
    <t>Про «Природный Минимализм (ЖК Level Причальный)»</t>
  </si>
  <si>
    <t>Кристина Гаевская</t>
  </si>
  <si>
    <t>ids.gaevski@yandex.ru</t>
  </si>
  <si>
    <t>9186652004</t>
  </si>
  <si>
    <t>г. Краснодар</t>
  </si>
  <si>
    <t>Про «Кухня-гостиная "Дом Родники"»</t>
  </si>
  <si>
    <t>Павел Денисов</t>
  </si>
  <si>
    <t>archpaul.d.e.n.i@gmail.com</t>
  </si>
  <si>
    <t>79263440340</t>
  </si>
  <si>
    <t>Про «Helen house»</t>
  </si>
  <si>
    <t>Маргарита Ганзий</t>
  </si>
  <si>
    <t>ganziym@gmail.com</t>
  </si>
  <si>
    <t>Про «Квартира в стиле неоклассика 130 м2»</t>
  </si>
  <si>
    <t>Альфия Строкова</t>
  </si>
  <si>
    <t>aa5459152@yandex.ru</t>
  </si>
  <si>
    <t>79035459152</t>
  </si>
  <si>
    <t>Про «ЖК Sky View»</t>
  </si>
  <si>
    <t>Кристина Вагайцева</t>
  </si>
  <si>
    <t>kristvag2@ya.ru</t>
  </si>
  <si>
    <t>Про «Загородный дом в современном стиле в Московской области»</t>
  </si>
  <si>
    <t>Елена Флерко</t>
  </si>
  <si>
    <t>fler_design@list.ru</t>
  </si>
  <si>
    <t>Про «Реализация проекта ЖК Символ»</t>
  </si>
  <si>
    <t>Лада Лунева</t>
  </si>
  <si>
    <t>9262218708@mail.ru</t>
  </si>
  <si>
    <t>9166043744</t>
  </si>
  <si>
    <t>Про «Дом у моря»</t>
  </si>
  <si>
    <t>DELAR</t>
  </si>
  <si>
    <t>contact@delar.company</t>
  </si>
  <si>
    <t>79500006020</t>
  </si>
  <si>
    <t>Татьяна Кошелева</t>
  </si>
  <si>
    <t>creative.line.club@gmail.com</t>
  </si>
  <si>
    <t>9782116140</t>
  </si>
  <si>
    <t>Про «Стиль "Zara Home", Джапанди»</t>
  </si>
  <si>
    <t>Студия дизайна и ремонта «Ярус»</t>
  </si>
  <si>
    <t>info@yarus.studio</t>
  </si>
  <si>
    <t>79534780222</t>
  </si>
  <si>
    <t>Про «Реализация современной четырехкомнатной квартиры площадью 170 м²»</t>
  </si>
  <si>
    <t>Юлия Пискарева</t>
  </si>
  <si>
    <t>piskarevayulia.ad@yandex.ru</t>
  </si>
  <si>
    <t>9164258257</t>
  </si>
  <si>
    <t>Про «Реновация интерьера в частном жилом доме из бруса на Новой Риге, 2025 год»</t>
  </si>
  <si>
    <t>Андрей Змеев</t>
  </si>
  <si>
    <t>zmeevandrei@mail.ru</t>
  </si>
  <si>
    <t>Про «Квартира с зелеными акцентами»</t>
  </si>
  <si>
    <t>Регина Гарипова</t>
  </si>
  <si>
    <t>regina88748@gmail.com</t>
  </si>
  <si>
    <t>79995697293</t>
  </si>
  <si>
    <t>Про «Меблировка под сдачу»</t>
  </si>
  <si>
    <t>Анастасия Ковальчук</t>
  </si>
  <si>
    <t>info@kovalchuk-interior.com</t>
  </si>
  <si>
    <t>Про «ЖК Headliner»</t>
  </si>
  <si>
    <t>MT design interiors</t>
  </si>
  <si>
    <t>mt.des.int@gmail.com</t>
  </si>
  <si>
    <t>Про «Квартира в ЖК_Измайлово»</t>
  </si>
  <si>
    <t>MANinteriors</t>
  </si>
  <si>
    <t>mail@maninteriors.com</t>
  </si>
  <si>
    <t>79055421585</t>
  </si>
  <si>
    <t>Про «ЖК Стремление к свету»</t>
  </si>
  <si>
    <t>Олег Иванов</t>
  </si>
  <si>
    <t>o.ivanovdesign@yandex.ru</t>
  </si>
  <si>
    <t>79777513438</t>
  </si>
  <si>
    <t>г Иванов</t>
  </si>
  <si>
    <t>Про «Квартира в ЖК Талисман»</t>
  </si>
  <si>
    <t>Светлана Царевская</t>
  </si>
  <si>
    <t>svt.tsarevskaya@mail.ru</t>
  </si>
  <si>
    <t>Про «Трехкомнатная квартира в ЖК Дзен-Кварталы»</t>
  </si>
  <si>
    <t>S.ПРОЕКТ</t>
  </si>
  <si>
    <t>Katyayalanzhi06@mail.ru</t>
  </si>
  <si>
    <t>79672878007</t>
  </si>
  <si>
    <t>Про «ЖК MyPriority 2»</t>
  </si>
  <si>
    <t>Вера Откидач</t>
  </si>
  <si>
    <t>vera-des@yandex.ru</t>
  </si>
  <si>
    <t>79312440097</t>
  </si>
  <si>
    <t>Про «Реализованный проект загородного дома из бруса»</t>
  </si>
  <si>
    <t>ПО ПАЧКАМ</t>
  </si>
  <si>
    <t>Контактов</t>
  </si>
  <si>
    <t>Ответов</t>
  </si>
  <si>
    <t>Статус пачки</t>
  </si>
  <si>
    <t>отправлена 07–08.07</t>
  </si>
  <si>
    <t>отправлена 08–09.07</t>
  </si>
  <si>
    <t>отправлена 10.07</t>
  </si>
  <si>
    <t>отправлена 13.07</t>
  </si>
  <si>
    <t>тексты в работе</t>
  </si>
  <si>
    <t>ИТОГО</t>
  </si>
  <si>
    <t>ОТВЕТЫ ПО ТИПАМ</t>
  </si>
  <si>
    <t>Положительных</t>
  </si>
  <si>
    <t>Деловых запросов</t>
  </si>
  <si>
    <t>Отказов</t>
  </si>
  <si>
    <t>Просили не писать</t>
  </si>
  <si>
    <t>Конверсия в ответ (от отправленных)</t>
  </si>
  <si>
    <t>КАК ВЕСТИ</t>
  </si>
  <si>
    <t>• Даты отправки пачек 1–3 взяты из sent_date ваших CSV, пачка 4 — 13.07.2026.</t>
  </si>
  <si>
    <t>• Жёлтые ячейки заполняются вручную по ходу кампании.</t>
  </si>
  <si>
    <t>• Тип ответа и статус — из выпадающих списков, иначе сводка не посчитает.</t>
  </si>
  <si>
    <t>• Зелёная подсветка имени = уже есть ответ (Липатов, Петрова, Бирюкова).</t>
  </si>
  <si>
    <t>• Хранить рядом с CSV кампании, вне www.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</si>
</sst>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9DB"/>
        <bgColor rgb="FFFFFFFF"/>
      </patternFill>
    </fill>
    <fill>
      <patternFill patternType="solid">
        <fgColor rgb="FFE8F5E9"/>
        <bgColor rgb="FFFFF9D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8.7109375" defaultRowHeight="15" x14ac:dyDescent="0.25"/>
  <cols>
    <col min="1" max="1" width="5" customWidth="1"/>
    <col min="2" max="2" width="11" customWidth="1"/>
    <col min="3" max="3" width="22" customWidth="1"/>
    <col min="4" max="4" width="26" customWidth="1"/>
    <col min="5" max="5" width="13" customWidth="1"/>
    <col min="6" max="6" width="14" customWidth="1"/>
    <col min="7" max="7" width="30" customWidth="1"/>
    <col min="8" max="8" width="9" customWidth="1"/>
    <col min="9" max="10" width="12" customWidth="1"/>
    <col min="11" max="11" width="15" customWidth="1"/>
    <col min="12" max="13" width="14" customWidth="1"/>
    <col min="14" max="14" width="42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2" t="s">
        <v>16</v>
      </c>
      <c r="E2" s="3"/>
      <c r="F2" s="2" t="s">
        <v>17</v>
      </c>
      <c r="G2" s="4" t="s">
        <v>18</v>
      </c>
      <c r="H2" s="2" t="s">
        <v>19</v>
      </c>
      <c r="I2" s="2" t="s">
        <v>20</v>
      </c>
      <c r="J2" s="5"/>
      <c r="K2" s="5"/>
      <c r="L2" s="5"/>
      <c r="M2" s="5"/>
      <c r="N2" s="6"/>
    </row>
    <row r="3" spans="1:14" ht="25.5" x14ac:dyDescent="0.25">
      <c r="A3" s="2">
        <v>2</v>
      </c>
      <c r="B3" s="2" t="s">
        <v>14</v>
      </c>
      <c r="C3" s="2" t="s">
        <v>21</v>
      </c>
      <c r="D3" s="2" t="s">
        <v>22</v>
      </c>
      <c r="E3" s="3"/>
      <c r="F3" s="2" t="s">
        <v>23</v>
      </c>
      <c r="G3" s="4" t="s">
        <v>24</v>
      </c>
      <c r="H3" s="2" t="s">
        <v>25</v>
      </c>
      <c r="I3" s="2" t="s">
        <v>20</v>
      </c>
      <c r="J3" s="5"/>
      <c r="K3" s="5"/>
      <c r="L3" s="5"/>
      <c r="M3" s="5"/>
      <c r="N3" s="6"/>
    </row>
    <row r="4" spans="1:14" ht="25.5" x14ac:dyDescent="0.25">
      <c r="A4" s="2">
        <v>3</v>
      </c>
      <c r="B4" s="2" t="s">
        <v>14</v>
      </c>
      <c r="C4" s="2" t="s">
        <v>26</v>
      </c>
      <c r="D4" s="2" t="s">
        <v>27</v>
      </c>
      <c r="E4" s="3" t="s">
        <v>28</v>
      </c>
      <c r="F4" s="2" t="s">
        <v>23</v>
      </c>
      <c r="G4" s="4" t="s">
        <v>29</v>
      </c>
      <c r="H4" s="2" t="s">
        <v>19</v>
      </c>
      <c r="I4" s="2" t="s">
        <v>20</v>
      </c>
      <c r="J4" s="5"/>
      <c r="K4" s="5"/>
      <c r="L4" s="5"/>
      <c r="M4" s="5"/>
      <c r="N4" s="6"/>
    </row>
    <row r="5" spans="1:14" x14ac:dyDescent="0.25">
      <c r="A5" s="2">
        <v>4</v>
      </c>
      <c r="B5" s="2" t="s">
        <v>14</v>
      </c>
      <c r="C5" s="2" t="s">
        <v>30</v>
      </c>
      <c r="D5" s="2" t="s">
        <v>31</v>
      </c>
      <c r="E5" s="3" t="s">
        <v>32</v>
      </c>
      <c r="F5" s="2" t="s">
        <v>23</v>
      </c>
      <c r="G5" s="4" t="s">
        <v>33</v>
      </c>
      <c r="H5" s="2" t="s">
        <v>25</v>
      </c>
      <c r="I5" s="2" t="s">
        <v>20</v>
      </c>
      <c r="J5" s="5"/>
      <c r="K5" s="5"/>
      <c r="L5" s="5"/>
      <c r="M5" s="5"/>
      <c r="N5" s="6"/>
    </row>
    <row r="6" spans="1:14" ht="38.25" x14ac:dyDescent="0.25">
      <c r="A6" s="2">
        <v>5</v>
      </c>
      <c r="B6" s="2" t="s">
        <v>14</v>
      </c>
      <c r="C6" s="7" t="s">
        <v>34</v>
      </c>
      <c r="D6" s="2" t="s">
        <v>35</v>
      </c>
      <c r="E6" s="3"/>
      <c r="F6" s="2" t="s">
        <v>23</v>
      </c>
      <c r="G6" s="4" t="s">
        <v>36</v>
      </c>
      <c r="H6" s="2" t="s">
        <v>19</v>
      </c>
      <c r="I6" s="2" t="s">
        <v>20</v>
      </c>
      <c r="J6" s="5"/>
      <c r="K6" s="5" t="s">
        <v>37</v>
      </c>
      <c r="L6" s="5"/>
      <c r="M6" s="5" t="s">
        <v>38</v>
      </c>
      <c r="N6" s="6" t="s">
        <v>39</v>
      </c>
    </row>
    <row r="7" spans="1:14" x14ac:dyDescent="0.25">
      <c r="A7" s="2">
        <v>6</v>
      </c>
      <c r="B7" s="2" t="s">
        <v>14</v>
      </c>
      <c r="C7" s="2" t="s">
        <v>40</v>
      </c>
      <c r="D7" s="2" t="s">
        <v>41</v>
      </c>
      <c r="E7" s="3"/>
      <c r="F7" s="2" t="s">
        <v>23</v>
      </c>
      <c r="G7" s="4" t="s">
        <v>42</v>
      </c>
      <c r="H7" s="2" t="s">
        <v>43</v>
      </c>
      <c r="I7" s="2" t="s">
        <v>44</v>
      </c>
      <c r="J7" s="5"/>
      <c r="K7" s="5"/>
      <c r="L7" s="5"/>
      <c r="M7" s="5"/>
      <c r="N7" s="6"/>
    </row>
    <row r="8" spans="1:14" ht="25.5" x14ac:dyDescent="0.25">
      <c r="A8" s="2">
        <v>7</v>
      </c>
      <c r="B8" s="2" t="s">
        <v>14</v>
      </c>
      <c r="C8" s="2" t="s">
        <v>45</v>
      </c>
      <c r="D8" s="2" t="s">
        <v>46</v>
      </c>
      <c r="E8" s="3" t="s">
        <v>47</v>
      </c>
      <c r="F8" s="2" t="s">
        <v>23</v>
      </c>
      <c r="G8" s="4" t="s">
        <v>48</v>
      </c>
      <c r="H8" s="2" t="s">
        <v>25</v>
      </c>
      <c r="I8" s="2" t="s">
        <v>44</v>
      </c>
      <c r="J8" s="5"/>
      <c r="K8" s="5"/>
      <c r="L8" s="5"/>
      <c r="M8" s="5"/>
      <c r="N8" s="6"/>
    </row>
    <row r="9" spans="1:14" x14ac:dyDescent="0.25">
      <c r="A9" s="2">
        <v>8</v>
      </c>
      <c r="B9" s="2" t="s">
        <v>14</v>
      </c>
      <c r="C9" s="2" t="s">
        <v>49</v>
      </c>
      <c r="D9" s="2" t="s">
        <v>50</v>
      </c>
      <c r="E9" s="3"/>
      <c r="F9" s="2" t="s">
        <v>23</v>
      </c>
      <c r="G9" s="4" t="s">
        <v>42</v>
      </c>
      <c r="H9" s="2" t="s">
        <v>43</v>
      </c>
      <c r="I9" s="2" t="s">
        <v>44</v>
      </c>
      <c r="J9" s="5"/>
      <c r="K9" s="5"/>
      <c r="L9" s="5"/>
      <c r="M9" s="5"/>
      <c r="N9" s="6"/>
    </row>
    <row r="10" spans="1:14" x14ac:dyDescent="0.25">
      <c r="A10" s="2">
        <v>9</v>
      </c>
      <c r="B10" s="2" t="s">
        <v>14</v>
      </c>
      <c r="C10" s="2" t="s">
        <v>51</v>
      </c>
      <c r="D10" s="2" t="s">
        <v>52</v>
      </c>
      <c r="E10" s="3" t="s">
        <v>53</v>
      </c>
      <c r="F10" s="2" t="s">
        <v>17</v>
      </c>
      <c r="G10" s="4" t="s">
        <v>54</v>
      </c>
      <c r="H10" s="2" t="s">
        <v>25</v>
      </c>
      <c r="I10" s="2" t="s">
        <v>44</v>
      </c>
      <c r="J10" s="5"/>
      <c r="K10" s="5"/>
      <c r="L10" s="5"/>
      <c r="M10" s="5"/>
      <c r="N10" s="6"/>
    </row>
    <row r="11" spans="1:14" ht="25.5" x14ac:dyDescent="0.25">
      <c r="A11" s="2">
        <v>10</v>
      </c>
      <c r="B11" s="2" t="s">
        <v>55</v>
      </c>
      <c r="C11" s="2" t="s">
        <v>56</v>
      </c>
      <c r="D11" s="2" t="s">
        <v>57</v>
      </c>
      <c r="E11" s="3"/>
      <c r="F11" s="2" t="s">
        <v>17</v>
      </c>
      <c r="G11" s="4" t="s">
        <v>58</v>
      </c>
      <c r="H11" s="2" t="s">
        <v>19</v>
      </c>
      <c r="I11" s="2" t="s">
        <v>44</v>
      </c>
      <c r="J11" s="5"/>
      <c r="K11" s="5"/>
      <c r="L11" s="5"/>
      <c r="M11" s="5"/>
      <c r="N11" s="6"/>
    </row>
    <row r="12" spans="1:14" ht="38.25" x14ac:dyDescent="0.25">
      <c r="A12" s="2">
        <v>11</v>
      </c>
      <c r="B12" s="2" t="s">
        <v>55</v>
      </c>
      <c r="C12" s="7" t="s">
        <v>59</v>
      </c>
      <c r="D12" s="2" t="s">
        <v>60</v>
      </c>
      <c r="E12" s="3"/>
      <c r="F12" s="2" t="s">
        <v>23</v>
      </c>
      <c r="G12" s="4" t="s">
        <v>61</v>
      </c>
      <c r="H12" s="2" t="s">
        <v>25</v>
      </c>
      <c r="I12" s="2" t="s">
        <v>44</v>
      </c>
      <c r="J12" s="5"/>
      <c r="K12" s="5" t="s">
        <v>62</v>
      </c>
      <c r="L12" s="5"/>
      <c r="M12" s="5" t="s">
        <v>63</v>
      </c>
      <c r="N12" s="6" t="s">
        <v>64</v>
      </c>
    </row>
    <row r="13" spans="1:14" x14ac:dyDescent="0.25">
      <c r="A13" s="2">
        <v>12</v>
      </c>
      <c r="B13" s="2" t="s">
        <v>55</v>
      </c>
      <c r="C13" s="2" t="s">
        <v>65</v>
      </c>
      <c r="D13" s="2" t="s">
        <v>66</v>
      </c>
      <c r="E13" s="3"/>
      <c r="F13" s="2" t="s">
        <v>17</v>
      </c>
      <c r="G13" s="4" t="s">
        <v>67</v>
      </c>
      <c r="H13" s="2" t="s">
        <v>19</v>
      </c>
      <c r="I13" s="2" t="s">
        <v>44</v>
      </c>
      <c r="J13" s="5"/>
      <c r="K13" s="5"/>
      <c r="L13" s="5"/>
      <c r="M13" s="5"/>
      <c r="N13" s="6"/>
    </row>
    <row r="14" spans="1:14" x14ac:dyDescent="0.25">
      <c r="A14" s="2">
        <v>13</v>
      </c>
      <c r="B14" s="2" t="s">
        <v>55</v>
      </c>
      <c r="C14" s="2" t="s">
        <v>68</v>
      </c>
      <c r="D14" s="2" t="s">
        <v>69</v>
      </c>
      <c r="E14" s="3" t="s">
        <v>70</v>
      </c>
      <c r="F14" s="2" t="s">
        <v>23</v>
      </c>
      <c r="G14" s="4" t="s">
        <v>71</v>
      </c>
      <c r="H14" s="2" t="s">
        <v>25</v>
      </c>
      <c r="I14" s="2" t="s">
        <v>44</v>
      </c>
      <c r="J14" s="5"/>
      <c r="K14" s="5"/>
      <c r="L14" s="5"/>
      <c r="M14" s="5"/>
      <c r="N14" s="6"/>
    </row>
    <row r="15" spans="1:14" ht="38.25" x14ac:dyDescent="0.25">
      <c r="A15" s="2">
        <v>14</v>
      </c>
      <c r="B15" s="2" t="s">
        <v>55</v>
      </c>
      <c r="C15" s="2" t="s">
        <v>72</v>
      </c>
      <c r="D15" s="2" t="s">
        <v>73</v>
      </c>
      <c r="E15" s="3"/>
      <c r="F15" s="2" t="s">
        <v>17</v>
      </c>
      <c r="G15" s="4" t="s">
        <v>74</v>
      </c>
      <c r="H15" s="2" t="s">
        <v>19</v>
      </c>
      <c r="I15" s="2" t="s">
        <v>44</v>
      </c>
      <c r="J15" s="5"/>
      <c r="K15" s="5"/>
      <c r="L15" s="5"/>
      <c r="M15" s="5"/>
      <c r="N15" s="6" t="s">
        <v>75</v>
      </c>
    </row>
    <row r="16" spans="1:14" ht="25.5" x14ac:dyDescent="0.25">
      <c r="A16" s="2">
        <v>15</v>
      </c>
      <c r="B16" s="2" t="s">
        <v>55</v>
      </c>
      <c r="C16" s="2" t="s">
        <v>76</v>
      </c>
      <c r="D16" s="2" t="s">
        <v>77</v>
      </c>
      <c r="E16" s="3" t="s">
        <v>78</v>
      </c>
      <c r="F16" s="2" t="s">
        <v>17</v>
      </c>
      <c r="G16" s="4" t="s">
        <v>79</v>
      </c>
      <c r="H16" s="2" t="s">
        <v>25</v>
      </c>
      <c r="I16" s="2" t="s">
        <v>80</v>
      </c>
      <c r="J16" s="5"/>
      <c r="K16" s="5"/>
      <c r="L16" s="5"/>
      <c r="M16" s="5"/>
      <c r="N16" s="6"/>
    </row>
    <row r="17" spans="1:14" ht="25.5" x14ac:dyDescent="0.25">
      <c r="A17" s="2">
        <v>16</v>
      </c>
      <c r="B17" s="2" t="s">
        <v>55</v>
      </c>
      <c r="C17" s="2" t="s">
        <v>81</v>
      </c>
      <c r="D17" s="2" t="s">
        <v>82</v>
      </c>
      <c r="E17" s="3"/>
      <c r="F17" s="2" t="s">
        <v>17</v>
      </c>
      <c r="G17" s="4" t="s">
        <v>83</v>
      </c>
      <c r="H17" s="2" t="s">
        <v>19</v>
      </c>
      <c r="I17" s="2" t="s">
        <v>80</v>
      </c>
      <c r="J17" s="5"/>
      <c r="K17" s="5"/>
      <c r="L17" s="5"/>
      <c r="M17" s="5"/>
      <c r="N17" s="6"/>
    </row>
    <row r="18" spans="1:14" x14ac:dyDescent="0.25">
      <c r="A18" s="2">
        <v>17</v>
      </c>
      <c r="B18" s="2" t="s">
        <v>55</v>
      </c>
      <c r="C18" s="2" t="s">
        <v>84</v>
      </c>
      <c r="D18" s="2" t="s">
        <v>85</v>
      </c>
      <c r="E18" s="3" t="s">
        <v>86</v>
      </c>
      <c r="F18" s="2" t="s">
        <v>23</v>
      </c>
      <c r="G18" s="4" t="s">
        <v>87</v>
      </c>
      <c r="H18" s="2" t="s">
        <v>25</v>
      </c>
      <c r="I18" s="2" t="s">
        <v>80</v>
      </c>
      <c r="J18" s="5"/>
      <c r="K18" s="5"/>
      <c r="L18" s="5"/>
      <c r="M18" s="5"/>
      <c r="N18" s="6"/>
    </row>
    <row r="19" spans="1:14" x14ac:dyDescent="0.25">
      <c r="A19" s="2">
        <v>18</v>
      </c>
      <c r="B19" s="2" t="s">
        <v>55</v>
      </c>
      <c r="C19" s="2" t="s">
        <v>88</v>
      </c>
      <c r="D19" s="2" t="s">
        <v>89</v>
      </c>
      <c r="E19" s="3" t="s">
        <v>90</v>
      </c>
      <c r="F19" s="2" t="s">
        <v>23</v>
      </c>
      <c r="G19" s="4" t="s">
        <v>42</v>
      </c>
      <c r="H19" s="2" t="s">
        <v>19</v>
      </c>
      <c r="I19" s="2" t="s">
        <v>80</v>
      </c>
      <c r="J19" s="5"/>
      <c r="K19" s="5"/>
      <c r="L19" s="5"/>
      <c r="M19" s="5"/>
      <c r="N19" s="6"/>
    </row>
    <row r="20" spans="1:14" ht="25.5" x14ac:dyDescent="0.25">
      <c r="A20" s="2">
        <v>19</v>
      </c>
      <c r="B20" s="2" t="s">
        <v>55</v>
      </c>
      <c r="C20" s="2" t="s">
        <v>91</v>
      </c>
      <c r="D20" s="2" t="s">
        <v>92</v>
      </c>
      <c r="E20" s="3" t="s">
        <v>93</v>
      </c>
      <c r="F20" s="2" t="s">
        <v>23</v>
      </c>
      <c r="G20" s="4" t="s">
        <v>94</v>
      </c>
      <c r="H20" s="2" t="s">
        <v>25</v>
      </c>
      <c r="I20" s="2" t="s">
        <v>80</v>
      </c>
      <c r="J20" s="5"/>
      <c r="K20" s="5"/>
      <c r="L20" s="5"/>
      <c r="M20" s="5"/>
      <c r="N20" s="6"/>
    </row>
    <row r="21" spans="1:14" ht="25.5" x14ac:dyDescent="0.25">
      <c r="A21" s="2">
        <v>20</v>
      </c>
      <c r="B21" s="2" t="s">
        <v>55</v>
      </c>
      <c r="C21" s="2" t="s">
        <v>95</v>
      </c>
      <c r="D21" s="2" t="s">
        <v>96</v>
      </c>
      <c r="E21" s="3" t="s">
        <v>97</v>
      </c>
      <c r="F21" s="2" t="s">
        <v>98</v>
      </c>
      <c r="G21" s="4" t="s">
        <v>99</v>
      </c>
      <c r="H21" s="2" t="s">
        <v>19</v>
      </c>
      <c r="I21" s="2" t="s">
        <v>80</v>
      </c>
      <c r="J21" s="5"/>
      <c r="K21" s="5"/>
      <c r="L21" s="5"/>
      <c r="M21" s="5"/>
      <c r="N21" s="6"/>
    </row>
    <row r="22" spans="1:14" ht="51" x14ac:dyDescent="0.25">
      <c r="A22" s="2">
        <v>21</v>
      </c>
      <c r="B22" s="2" t="s">
        <v>55</v>
      </c>
      <c r="C22" s="7" t="s">
        <v>100</v>
      </c>
      <c r="D22" s="2" t="s">
        <v>101</v>
      </c>
      <c r="E22" s="3" t="s">
        <v>102</v>
      </c>
      <c r="F22" s="2" t="s">
        <v>17</v>
      </c>
      <c r="G22" s="4" t="s">
        <v>103</v>
      </c>
      <c r="H22" s="2" t="s">
        <v>25</v>
      </c>
      <c r="I22" s="2" t="s">
        <v>80</v>
      </c>
      <c r="J22" s="5"/>
      <c r="K22" s="5" t="s">
        <v>104</v>
      </c>
      <c r="L22" s="5" t="s">
        <v>105</v>
      </c>
      <c r="M22" s="5" t="s">
        <v>106</v>
      </c>
      <c r="N22" s="6" t="s">
        <v>107</v>
      </c>
    </row>
    <row r="23" spans="1:14" x14ac:dyDescent="0.25">
      <c r="A23" s="2">
        <v>22</v>
      </c>
      <c r="B23" s="2" t="s">
        <v>55</v>
      </c>
      <c r="C23" s="2" t="s">
        <v>108</v>
      </c>
      <c r="D23" s="2" t="s">
        <v>109</v>
      </c>
      <c r="E23" s="3" t="s">
        <v>110</v>
      </c>
      <c r="F23" s="2" t="s">
        <v>23</v>
      </c>
      <c r="G23" s="4" t="s">
        <v>111</v>
      </c>
      <c r="H23" s="2" t="s">
        <v>19</v>
      </c>
      <c r="I23" s="2" t="s">
        <v>80</v>
      </c>
      <c r="J23" s="5"/>
      <c r="K23" s="5"/>
      <c r="L23" s="5"/>
      <c r="M23" s="5"/>
      <c r="N23" s="6"/>
    </row>
    <row r="24" spans="1:14" x14ac:dyDescent="0.25">
      <c r="A24" s="2">
        <v>23</v>
      </c>
      <c r="B24" s="2" t="s">
        <v>55</v>
      </c>
      <c r="C24" s="2" t="s">
        <v>112</v>
      </c>
      <c r="D24" s="2" t="s">
        <v>113</v>
      </c>
      <c r="E24" s="3" t="s">
        <v>114</v>
      </c>
      <c r="F24" s="2" t="s">
        <v>115</v>
      </c>
      <c r="G24" s="4" t="s">
        <v>116</v>
      </c>
      <c r="H24" s="2" t="s">
        <v>25</v>
      </c>
      <c r="I24" s="2" t="s">
        <v>80</v>
      </c>
      <c r="J24" s="5"/>
      <c r="K24" s="5"/>
      <c r="L24" s="5"/>
      <c r="M24" s="5"/>
      <c r="N24" s="6"/>
    </row>
    <row r="25" spans="1:14" x14ac:dyDescent="0.25">
      <c r="A25" s="2">
        <v>24</v>
      </c>
      <c r="B25" s="2" t="s">
        <v>55</v>
      </c>
      <c r="C25" s="2" t="s">
        <v>117</v>
      </c>
      <c r="D25" s="2" t="s">
        <v>118</v>
      </c>
      <c r="E25" s="3" t="s">
        <v>119</v>
      </c>
      <c r="F25" s="2" t="s">
        <v>23</v>
      </c>
      <c r="G25" s="4" t="s">
        <v>120</v>
      </c>
      <c r="H25" s="2" t="s">
        <v>19</v>
      </c>
      <c r="I25" s="2" t="s">
        <v>80</v>
      </c>
      <c r="J25" s="5"/>
      <c r="K25" s="5"/>
      <c r="L25" s="5"/>
      <c r="M25" s="5"/>
      <c r="N25" s="6"/>
    </row>
    <row r="26" spans="1:14" ht="25.5" x14ac:dyDescent="0.25">
      <c r="A26" s="2">
        <v>25</v>
      </c>
      <c r="B26" s="2" t="s">
        <v>121</v>
      </c>
      <c r="C26" s="2" t="s">
        <v>122</v>
      </c>
      <c r="D26" s="2" t="s">
        <v>123</v>
      </c>
      <c r="E26" s="3"/>
      <c r="F26" s="2" t="s">
        <v>17</v>
      </c>
      <c r="G26" s="4" t="s">
        <v>124</v>
      </c>
      <c r="H26" s="2" t="s">
        <v>25</v>
      </c>
      <c r="I26" s="2" t="s">
        <v>125</v>
      </c>
      <c r="J26" s="5"/>
      <c r="K26" s="5"/>
      <c r="L26" s="5"/>
      <c r="M26" s="5"/>
      <c r="N26" s="6"/>
    </row>
    <row r="27" spans="1:14" x14ac:dyDescent="0.25">
      <c r="A27" s="2">
        <v>26</v>
      </c>
      <c r="B27" s="2" t="s">
        <v>121</v>
      </c>
      <c r="C27" s="2" t="s">
        <v>126</v>
      </c>
      <c r="D27" s="2" t="s">
        <v>127</v>
      </c>
      <c r="E27" s="3"/>
      <c r="F27" s="2" t="s">
        <v>23</v>
      </c>
      <c r="G27" s="4" t="s">
        <v>128</v>
      </c>
      <c r="H27" s="2" t="s">
        <v>19</v>
      </c>
      <c r="I27" s="2" t="s">
        <v>125</v>
      </c>
      <c r="J27" s="5"/>
      <c r="K27" s="5"/>
      <c r="L27" s="5"/>
      <c r="M27" s="5"/>
      <c r="N27" s="6"/>
    </row>
    <row r="28" spans="1:14" x14ac:dyDescent="0.25">
      <c r="A28" s="2">
        <v>27</v>
      </c>
      <c r="B28" s="2" t="s">
        <v>121</v>
      </c>
      <c r="C28" s="2" t="s">
        <v>129</v>
      </c>
      <c r="D28" s="2" t="s">
        <v>130</v>
      </c>
      <c r="E28" s="3" t="s">
        <v>131</v>
      </c>
      <c r="F28" s="2" t="s">
        <v>23</v>
      </c>
      <c r="G28" s="4" t="s">
        <v>132</v>
      </c>
      <c r="H28" s="2" t="s">
        <v>25</v>
      </c>
      <c r="I28" s="2" t="s">
        <v>125</v>
      </c>
      <c r="J28" s="5"/>
      <c r="K28" s="5"/>
      <c r="L28" s="5"/>
      <c r="M28" s="5"/>
      <c r="N28" s="6"/>
    </row>
    <row r="29" spans="1:14" ht="25.5" x14ac:dyDescent="0.25">
      <c r="A29" s="2">
        <v>28</v>
      </c>
      <c r="B29" s="2" t="s">
        <v>121</v>
      </c>
      <c r="C29" s="2" t="s">
        <v>133</v>
      </c>
      <c r="D29" s="2" t="s">
        <v>134</v>
      </c>
      <c r="E29" s="3" t="s">
        <v>135</v>
      </c>
      <c r="F29" s="2" t="s">
        <v>23</v>
      </c>
      <c r="G29" s="4" t="s">
        <v>136</v>
      </c>
      <c r="H29" s="2" t="s">
        <v>19</v>
      </c>
      <c r="I29" s="2" t="s">
        <v>125</v>
      </c>
      <c r="J29" s="5"/>
      <c r="K29" s="5"/>
      <c r="L29" s="5"/>
      <c r="M29" s="5"/>
      <c r="N29" s="6"/>
    </row>
    <row r="30" spans="1:14" ht="25.5" x14ac:dyDescent="0.25">
      <c r="A30" s="2">
        <v>29</v>
      </c>
      <c r="B30" s="2" t="s">
        <v>121</v>
      </c>
      <c r="C30" s="2" t="s">
        <v>137</v>
      </c>
      <c r="D30" s="2" t="s">
        <v>138</v>
      </c>
      <c r="E30" s="3" t="s">
        <v>139</v>
      </c>
      <c r="F30" s="2" t="s">
        <v>17</v>
      </c>
      <c r="G30" s="4" t="s">
        <v>140</v>
      </c>
      <c r="H30" s="2" t="s">
        <v>25</v>
      </c>
      <c r="I30" s="2" t="s">
        <v>125</v>
      </c>
      <c r="J30" s="5"/>
      <c r="K30" s="5"/>
      <c r="L30" s="5"/>
      <c r="M30" s="5"/>
      <c r="N30" s="6"/>
    </row>
    <row r="31" spans="1:14" x14ac:dyDescent="0.25">
      <c r="A31" s="2">
        <v>30</v>
      </c>
      <c r="B31" s="2" t="s">
        <v>121</v>
      </c>
      <c r="C31" s="2" t="s">
        <v>141</v>
      </c>
      <c r="D31" s="2" t="s">
        <v>142</v>
      </c>
      <c r="E31" s="3" t="s">
        <v>143</v>
      </c>
      <c r="F31" s="2" t="s">
        <v>17</v>
      </c>
      <c r="G31" s="4" t="s">
        <v>144</v>
      </c>
      <c r="H31" s="2" t="s">
        <v>19</v>
      </c>
      <c r="I31" s="2" t="s">
        <v>125</v>
      </c>
      <c r="J31" s="5"/>
      <c r="K31" s="5"/>
      <c r="L31" s="5"/>
      <c r="M31" s="5"/>
      <c r="N31" s="6"/>
    </row>
    <row r="32" spans="1:14" ht="25.5" x14ac:dyDescent="0.25">
      <c r="A32" s="2">
        <v>31</v>
      </c>
      <c r="B32" s="2" t="s">
        <v>121</v>
      </c>
      <c r="C32" s="2" t="s">
        <v>145</v>
      </c>
      <c r="D32" s="2" t="s">
        <v>146</v>
      </c>
      <c r="E32" s="3" t="s">
        <v>147</v>
      </c>
      <c r="F32" s="2" t="s">
        <v>23</v>
      </c>
      <c r="G32" s="4" t="s">
        <v>148</v>
      </c>
      <c r="H32" s="2" t="s">
        <v>19</v>
      </c>
      <c r="I32" s="2" t="s">
        <v>125</v>
      </c>
      <c r="J32" s="5"/>
      <c r="K32" s="5"/>
      <c r="L32" s="5"/>
      <c r="M32" s="5"/>
      <c r="N32" s="6"/>
    </row>
    <row r="33" spans="1:14" x14ac:dyDescent="0.25">
      <c r="A33" s="2">
        <v>32</v>
      </c>
      <c r="B33" s="2" t="s">
        <v>121</v>
      </c>
      <c r="C33" s="2" t="s">
        <v>149</v>
      </c>
      <c r="D33" s="2" t="s">
        <v>150</v>
      </c>
      <c r="E33" s="3" t="s">
        <v>151</v>
      </c>
      <c r="F33" s="2" t="s">
        <v>17</v>
      </c>
      <c r="G33" s="4" t="s">
        <v>152</v>
      </c>
      <c r="H33" s="2" t="s">
        <v>25</v>
      </c>
      <c r="I33" s="2" t="s">
        <v>125</v>
      </c>
      <c r="J33" s="5"/>
      <c r="K33" s="5"/>
      <c r="L33" s="5"/>
      <c r="M33" s="5"/>
      <c r="N33" s="6"/>
    </row>
    <row r="34" spans="1:14" x14ac:dyDescent="0.25">
      <c r="A34" s="2">
        <v>33</v>
      </c>
      <c r="B34" s="2" t="s">
        <v>121</v>
      </c>
      <c r="C34" s="2" t="s">
        <v>153</v>
      </c>
      <c r="D34" s="2" t="s">
        <v>154</v>
      </c>
      <c r="E34" s="3"/>
      <c r="F34" s="2" t="s">
        <v>17</v>
      </c>
      <c r="G34" s="4" t="s">
        <v>155</v>
      </c>
      <c r="H34" s="2" t="s">
        <v>19</v>
      </c>
      <c r="I34" s="2" t="s">
        <v>125</v>
      </c>
      <c r="J34" s="5"/>
      <c r="K34" s="5"/>
      <c r="L34" s="5"/>
      <c r="M34" s="5"/>
      <c r="N34" s="6"/>
    </row>
    <row r="35" spans="1:14" x14ac:dyDescent="0.25">
      <c r="A35" s="2">
        <v>34</v>
      </c>
      <c r="B35" s="2" t="s">
        <v>121</v>
      </c>
      <c r="C35" s="2" t="s">
        <v>156</v>
      </c>
      <c r="D35" s="2" t="s">
        <v>157</v>
      </c>
      <c r="E35" s="3"/>
      <c r="F35" s="2" t="s">
        <v>17</v>
      </c>
      <c r="G35" s="4" t="s">
        <v>158</v>
      </c>
      <c r="H35" s="2" t="s">
        <v>25</v>
      </c>
      <c r="I35" s="2" t="s">
        <v>125</v>
      </c>
      <c r="J35" s="5"/>
      <c r="K35" s="5"/>
      <c r="L35" s="5"/>
      <c r="M35" s="5"/>
      <c r="N35" s="6"/>
    </row>
    <row r="36" spans="1:14" x14ac:dyDescent="0.25">
      <c r="A36" s="2">
        <v>35</v>
      </c>
      <c r="B36" s="2" t="s">
        <v>121</v>
      </c>
      <c r="C36" s="2" t="s">
        <v>159</v>
      </c>
      <c r="D36" s="2" t="s">
        <v>160</v>
      </c>
      <c r="E36" s="3" t="s">
        <v>161</v>
      </c>
      <c r="F36" s="2" t="s">
        <v>17</v>
      </c>
      <c r="G36" s="4" t="s">
        <v>162</v>
      </c>
      <c r="H36" s="2" t="s">
        <v>19</v>
      </c>
      <c r="I36" s="2" t="s">
        <v>125</v>
      </c>
      <c r="J36" s="5"/>
      <c r="K36" s="5"/>
      <c r="L36" s="5"/>
      <c r="M36" s="5"/>
      <c r="N36" s="6"/>
    </row>
    <row r="37" spans="1:14" x14ac:dyDescent="0.25">
      <c r="A37" s="2">
        <v>36</v>
      </c>
      <c r="B37" s="2" t="s">
        <v>121</v>
      </c>
      <c r="C37" s="2" t="s">
        <v>163</v>
      </c>
      <c r="D37" s="2" t="s">
        <v>164</v>
      </c>
      <c r="E37" s="3"/>
      <c r="F37" s="2" t="s">
        <v>17</v>
      </c>
      <c r="G37" s="4" t="s">
        <v>165</v>
      </c>
      <c r="H37" s="2" t="s">
        <v>25</v>
      </c>
      <c r="I37" s="2" t="s">
        <v>125</v>
      </c>
      <c r="J37" s="5"/>
      <c r="K37" s="5"/>
      <c r="L37" s="5"/>
      <c r="M37" s="5"/>
      <c r="N37" s="6"/>
    </row>
    <row r="38" spans="1:14" x14ac:dyDescent="0.25">
      <c r="A38" s="2">
        <v>37</v>
      </c>
      <c r="B38" s="2" t="s">
        <v>121</v>
      </c>
      <c r="C38" s="2" t="s">
        <v>166</v>
      </c>
      <c r="D38" s="2" t="s">
        <v>167</v>
      </c>
      <c r="E38" s="3"/>
      <c r="F38" s="2" t="s">
        <v>17</v>
      </c>
      <c r="G38" s="4" t="s">
        <v>168</v>
      </c>
      <c r="H38" s="2" t="s">
        <v>19</v>
      </c>
      <c r="I38" s="2" t="s">
        <v>125</v>
      </c>
      <c r="J38" s="5"/>
      <c r="K38" s="5"/>
      <c r="L38" s="5"/>
      <c r="M38" s="5"/>
      <c r="N38" s="6"/>
    </row>
    <row r="39" spans="1:14" x14ac:dyDescent="0.25">
      <c r="A39" s="2">
        <v>38</v>
      </c>
      <c r="B39" s="2" t="s">
        <v>121</v>
      </c>
      <c r="C39" s="2" t="s">
        <v>169</v>
      </c>
      <c r="D39" s="2" t="s">
        <v>170</v>
      </c>
      <c r="E39" s="3" t="s">
        <v>171</v>
      </c>
      <c r="F39" s="2" t="s">
        <v>23</v>
      </c>
      <c r="G39" s="4" t="s">
        <v>172</v>
      </c>
      <c r="H39" s="2" t="s">
        <v>25</v>
      </c>
      <c r="I39" s="2" t="s">
        <v>125</v>
      </c>
      <c r="J39" s="5"/>
      <c r="K39" s="5"/>
      <c r="L39" s="5"/>
      <c r="M39" s="5"/>
      <c r="N39" s="6"/>
    </row>
    <row r="40" spans="1:14" x14ac:dyDescent="0.25">
      <c r="A40" s="2">
        <v>39</v>
      </c>
      <c r="B40" s="2" t="s">
        <v>121</v>
      </c>
      <c r="C40" s="2" t="s">
        <v>173</v>
      </c>
      <c r="D40" s="2" t="s">
        <v>174</v>
      </c>
      <c r="E40" s="3" t="s">
        <v>175</v>
      </c>
      <c r="F40" s="2" t="s">
        <v>17</v>
      </c>
      <c r="G40" s="4" t="s">
        <v>176</v>
      </c>
      <c r="H40" s="2" t="s">
        <v>19</v>
      </c>
      <c r="I40" s="2" t="s">
        <v>125</v>
      </c>
      <c r="J40" s="5"/>
      <c r="K40" s="5"/>
      <c r="L40" s="5"/>
      <c r="M40" s="5"/>
      <c r="N40" s="6"/>
    </row>
    <row r="41" spans="1:14" ht="25.5" x14ac:dyDescent="0.25">
      <c r="A41" s="2">
        <v>40</v>
      </c>
      <c r="B41" s="2" t="s">
        <v>177</v>
      </c>
      <c r="C41" s="2" t="s">
        <v>178</v>
      </c>
      <c r="D41" s="2" t="s">
        <v>179</v>
      </c>
      <c r="E41" s="3" t="s">
        <v>180</v>
      </c>
      <c r="F41" s="2" t="s">
        <v>181</v>
      </c>
      <c r="G41" s="4" t="s">
        <v>182</v>
      </c>
      <c r="H41" s="2" t="s">
        <v>25</v>
      </c>
      <c r="I41" s="2" t="s">
        <v>105</v>
      </c>
      <c r="J41" s="5"/>
      <c r="K41" s="5"/>
      <c r="L41" s="5"/>
      <c r="M41" s="5"/>
      <c r="N41" s="6"/>
    </row>
    <row r="42" spans="1:14" x14ac:dyDescent="0.25">
      <c r="A42" s="2">
        <v>41</v>
      </c>
      <c r="B42" s="2" t="s">
        <v>177</v>
      </c>
      <c r="C42" s="2" t="s">
        <v>183</v>
      </c>
      <c r="D42" s="2" t="s">
        <v>184</v>
      </c>
      <c r="E42" s="3" t="s">
        <v>185</v>
      </c>
      <c r="F42" s="2" t="s">
        <v>17</v>
      </c>
      <c r="G42" s="4" t="s">
        <v>186</v>
      </c>
      <c r="H42" s="2" t="s">
        <v>43</v>
      </c>
      <c r="I42" s="2" t="s">
        <v>105</v>
      </c>
      <c r="J42" s="5"/>
      <c r="K42" s="5"/>
      <c r="L42" s="5"/>
      <c r="M42" s="5"/>
      <c r="N42" s="6"/>
    </row>
    <row r="43" spans="1:14" x14ac:dyDescent="0.25">
      <c r="A43" s="2">
        <v>42</v>
      </c>
      <c r="B43" s="2" t="s">
        <v>177</v>
      </c>
      <c r="C43" s="2" t="s">
        <v>187</v>
      </c>
      <c r="D43" s="2" t="s">
        <v>188</v>
      </c>
      <c r="E43" s="3" t="s">
        <v>189</v>
      </c>
      <c r="F43" s="2" t="s">
        <v>17</v>
      </c>
      <c r="G43" s="4" t="s">
        <v>190</v>
      </c>
      <c r="H43" s="2" t="s">
        <v>19</v>
      </c>
      <c r="I43" s="2" t="s">
        <v>105</v>
      </c>
      <c r="J43" s="5"/>
      <c r="K43" s="5"/>
      <c r="L43" s="5"/>
      <c r="M43" s="5"/>
      <c r="N43" s="6"/>
    </row>
    <row r="44" spans="1:14" x14ac:dyDescent="0.25">
      <c r="A44" s="2">
        <v>43</v>
      </c>
      <c r="B44" s="2" t="s">
        <v>177</v>
      </c>
      <c r="C44" s="2" t="s">
        <v>191</v>
      </c>
      <c r="D44" s="2" t="s">
        <v>192</v>
      </c>
      <c r="E44" s="3" t="s">
        <v>193</v>
      </c>
      <c r="F44" s="2" t="s">
        <v>17</v>
      </c>
      <c r="G44" s="4" t="s">
        <v>194</v>
      </c>
      <c r="H44" s="2" t="s">
        <v>25</v>
      </c>
      <c r="I44" s="2" t="s">
        <v>105</v>
      </c>
      <c r="J44" s="5"/>
      <c r="K44" s="5"/>
      <c r="L44" s="5"/>
      <c r="M44" s="5"/>
      <c r="N44" s="6"/>
    </row>
    <row r="45" spans="1:14" ht="25.5" x14ac:dyDescent="0.25">
      <c r="A45" s="2">
        <v>44</v>
      </c>
      <c r="B45" s="2" t="s">
        <v>177</v>
      </c>
      <c r="C45" s="2" t="s">
        <v>195</v>
      </c>
      <c r="D45" s="2" t="s">
        <v>196</v>
      </c>
      <c r="E45" s="3" t="s">
        <v>197</v>
      </c>
      <c r="F45" s="2" t="s">
        <v>198</v>
      </c>
      <c r="G45" s="4" t="s">
        <v>199</v>
      </c>
      <c r="H45" s="2" t="s">
        <v>19</v>
      </c>
      <c r="I45" s="2" t="s">
        <v>105</v>
      </c>
      <c r="J45" s="5"/>
      <c r="K45" s="5"/>
      <c r="L45" s="5"/>
      <c r="M45" s="5"/>
      <c r="N45" s="6"/>
    </row>
    <row r="46" spans="1:14" ht="25.5" x14ac:dyDescent="0.25">
      <c r="A46" s="2">
        <v>45</v>
      </c>
      <c r="B46" s="2" t="s">
        <v>177</v>
      </c>
      <c r="C46" s="2" t="s">
        <v>200</v>
      </c>
      <c r="D46" s="2" t="s">
        <v>201</v>
      </c>
      <c r="E46" s="3"/>
      <c r="F46" s="2" t="s">
        <v>23</v>
      </c>
      <c r="G46" s="4" t="s">
        <v>202</v>
      </c>
      <c r="H46" s="2" t="s">
        <v>25</v>
      </c>
      <c r="I46" s="2" t="s">
        <v>105</v>
      </c>
      <c r="J46" s="5"/>
      <c r="K46" s="5"/>
      <c r="L46" s="5"/>
      <c r="M46" s="5"/>
      <c r="N46" s="6"/>
    </row>
    <row r="47" spans="1:14" x14ac:dyDescent="0.25">
      <c r="A47" s="2">
        <v>46</v>
      </c>
      <c r="B47" s="2" t="s">
        <v>177</v>
      </c>
      <c r="C47" s="2" t="s">
        <v>203</v>
      </c>
      <c r="D47" s="2" t="s">
        <v>204</v>
      </c>
      <c r="E47" s="3" t="s">
        <v>205</v>
      </c>
      <c r="F47" s="2" t="s">
        <v>23</v>
      </c>
      <c r="G47" s="4" t="s">
        <v>206</v>
      </c>
      <c r="H47" s="2" t="s">
        <v>19</v>
      </c>
      <c r="I47" s="2" t="s">
        <v>105</v>
      </c>
      <c r="J47" s="5"/>
      <c r="K47" s="5"/>
      <c r="L47" s="5"/>
      <c r="M47" s="5"/>
      <c r="N47" s="6"/>
    </row>
    <row r="48" spans="1:14" ht="25.5" x14ac:dyDescent="0.25">
      <c r="A48" s="2">
        <v>47</v>
      </c>
      <c r="B48" s="2" t="s">
        <v>177</v>
      </c>
      <c r="C48" s="2" t="s">
        <v>207</v>
      </c>
      <c r="D48" s="2" t="s">
        <v>208</v>
      </c>
      <c r="E48" s="3" t="s">
        <v>209</v>
      </c>
      <c r="F48" s="2" t="s">
        <v>23</v>
      </c>
      <c r="G48" s="4" t="s">
        <v>210</v>
      </c>
      <c r="H48" s="2" t="s">
        <v>25</v>
      </c>
      <c r="I48" s="2" t="s">
        <v>105</v>
      </c>
      <c r="J48" s="5"/>
      <c r="K48" s="5"/>
      <c r="L48" s="5"/>
      <c r="M48" s="5"/>
      <c r="N48" s="6"/>
    </row>
    <row r="49" spans="1:14" x14ac:dyDescent="0.25">
      <c r="A49" s="2">
        <v>48</v>
      </c>
      <c r="B49" s="2" t="s">
        <v>177</v>
      </c>
      <c r="C49" s="2" t="s">
        <v>211</v>
      </c>
      <c r="D49" s="2" t="s">
        <v>212</v>
      </c>
      <c r="E49" s="3" t="s">
        <v>213</v>
      </c>
      <c r="F49" s="2" t="s">
        <v>214</v>
      </c>
      <c r="G49" s="4" t="s">
        <v>215</v>
      </c>
      <c r="H49" s="2" t="s">
        <v>19</v>
      </c>
      <c r="I49" s="2" t="s">
        <v>105</v>
      </c>
      <c r="J49" s="5"/>
      <c r="K49" s="5"/>
      <c r="L49" s="5"/>
      <c r="M49" s="5"/>
      <c r="N49" s="6"/>
    </row>
    <row r="50" spans="1:14" ht="25.5" x14ac:dyDescent="0.25">
      <c r="A50" s="2">
        <v>49</v>
      </c>
      <c r="B50" s="2" t="s">
        <v>177</v>
      </c>
      <c r="C50" s="2" t="s">
        <v>216</v>
      </c>
      <c r="D50" s="2" t="s">
        <v>217</v>
      </c>
      <c r="E50" s="3"/>
      <c r="F50" s="2" t="s">
        <v>17</v>
      </c>
      <c r="G50" s="4" t="s">
        <v>218</v>
      </c>
      <c r="H50" s="2" t="s">
        <v>25</v>
      </c>
      <c r="I50" s="2" t="s">
        <v>105</v>
      </c>
      <c r="J50" s="5"/>
      <c r="K50" s="5"/>
      <c r="L50" s="5"/>
      <c r="M50" s="5"/>
      <c r="N50" s="6"/>
    </row>
    <row r="51" spans="1:14" ht="25.5" x14ac:dyDescent="0.25">
      <c r="A51" s="2">
        <v>50</v>
      </c>
      <c r="B51" s="2" t="s">
        <v>177</v>
      </c>
      <c r="C51" s="2" t="s">
        <v>219</v>
      </c>
      <c r="D51" s="2" t="s">
        <v>220</v>
      </c>
      <c r="E51" s="3" t="s">
        <v>221</v>
      </c>
      <c r="F51" s="2" t="s">
        <v>17</v>
      </c>
      <c r="G51" s="4" t="s">
        <v>222</v>
      </c>
      <c r="H51" s="2" t="s">
        <v>19</v>
      </c>
      <c r="I51" s="2" t="s">
        <v>105</v>
      </c>
      <c r="J51" s="5"/>
      <c r="K51" s="5"/>
      <c r="L51" s="5"/>
      <c r="M51" s="5"/>
      <c r="N51" s="6"/>
    </row>
    <row r="52" spans="1:14" ht="25.5" x14ac:dyDescent="0.25">
      <c r="A52" s="2">
        <v>51</v>
      </c>
      <c r="B52" s="2" t="s">
        <v>177</v>
      </c>
      <c r="C52" s="2" t="s">
        <v>223</v>
      </c>
      <c r="D52" s="2" t="s">
        <v>224</v>
      </c>
      <c r="E52" s="3" t="s">
        <v>225</v>
      </c>
      <c r="F52" s="2" t="s">
        <v>23</v>
      </c>
      <c r="G52" s="4" t="s">
        <v>226</v>
      </c>
      <c r="H52" s="2" t="s">
        <v>25</v>
      </c>
      <c r="I52" s="2" t="s">
        <v>105</v>
      </c>
      <c r="J52" s="5"/>
      <c r="K52" s="5"/>
      <c r="L52" s="5"/>
      <c r="M52" s="5"/>
      <c r="N52" s="6"/>
    </row>
    <row r="53" spans="1:14" x14ac:dyDescent="0.25">
      <c r="A53" s="2">
        <v>52</v>
      </c>
      <c r="B53" s="2" t="s">
        <v>177</v>
      </c>
      <c r="C53" s="2" t="s">
        <v>227</v>
      </c>
      <c r="D53" s="2" t="s">
        <v>228</v>
      </c>
      <c r="E53" s="3" t="s">
        <v>229</v>
      </c>
      <c r="F53" s="2" t="s">
        <v>17</v>
      </c>
      <c r="G53" s="4" t="s">
        <v>230</v>
      </c>
      <c r="H53" s="2" t="s">
        <v>19</v>
      </c>
      <c r="I53" s="2" t="s">
        <v>105</v>
      </c>
      <c r="J53" s="5"/>
      <c r="K53" s="5"/>
      <c r="L53" s="5"/>
      <c r="M53" s="5"/>
      <c r="N53" s="6"/>
    </row>
    <row r="54" spans="1:14" x14ac:dyDescent="0.25">
      <c r="A54" s="2">
        <v>53</v>
      </c>
      <c r="B54" s="2" t="s">
        <v>177</v>
      </c>
      <c r="C54" s="2" t="s">
        <v>231</v>
      </c>
      <c r="D54" s="2" t="s">
        <v>232</v>
      </c>
      <c r="E54" s="3" t="s">
        <v>233</v>
      </c>
      <c r="F54" s="2" t="s">
        <v>23</v>
      </c>
      <c r="G54" s="4" t="s">
        <v>234</v>
      </c>
      <c r="H54" s="2" t="s">
        <v>25</v>
      </c>
      <c r="I54" s="2" t="s">
        <v>105</v>
      </c>
      <c r="J54" s="5"/>
      <c r="K54" s="5"/>
      <c r="L54" s="5"/>
      <c r="M54" s="5"/>
      <c r="N54" s="6"/>
    </row>
    <row r="55" spans="1:14" x14ac:dyDescent="0.25">
      <c r="A55" s="2">
        <v>54</v>
      </c>
      <c r="B55" s="2" t="s">
        <v>177</v>
      </c>
      <c r="C55" s="2" t="s">
        <v>235</v>
      </c>
      <c r="D55" s="2" t="s">
        <v>236</v>
      </c>
      <c r="E55" s="3" t="s">
        <v>237</v>
      </c>
      <c r="F55" s="2" t="s">
        <v>17</v>
      </c>
      <c r="G55" s="4" t="s">
        <v>238</v>
      </c>
      <c r="H55" s="2" t="s">
        <v>19</v>
      </c>
      <c r="I55" s="2" t="s">
        <v>105</v>
      </c>
      <c r="J55" s="5"/>
      <c r="K55" s="5"/>
      <c r="L55" s="5"/>
      <c r="M55" s="5"/>
      <c r="N55" s="6"/>
    </row>
    <row r="56" spans="1:14" x14ac:dyDescent="0.25">
      <c r="A56" s="2">
        <v>55</v>
      </c>
      <c r="B56" s="2" t="s">
        <v>177</v>
      </c>
      <c r="C56" s="2" t="s">
        <v>239</v>
      </c>
      <c r="D56" s="2" t="s">
        <v>240</v>
      </c>
      <c r="E56" s="3" t="s">
        <v>241</v>
      </c>
      <c r="F56" s="2" t="s">
        <v>23</v>
      </c>
      <c r="G56" s="4" t="s">
        <v>242</v>
      </c>
      <c r="H56" s="2" t="s">
        <v>25</v>
      </c>
      <c r="I56" s="2" t="s">
        <v>105</v>
      </c>
      <c r="J56" s="5"/>
      <c r="K56" s="5"/>
      <c r="L56" s="5"/>
      <c r="M56" s="5"/>
      <c r="N56" s="6"/>
    </row>
    <row r="57" spans="1:14" ht="25.5" x14ac:dyDescent="0.25">
      <c r="A57" s="2">
        <v>56</v>
      </c>
      <c r="B57" s="2" t="s">
        <v>243</v>
      </c>
      <c r="C57" s="2" t="s">
        <v>244</v>
      </c>
      <c r="D57" s="2" t="s">
        <v>245</v>
      </c>
      <c r="E57" s="3" t="s">
        <v>246</v>
      </c>
      <c r="F57" s="2" t="s">
        <v>23</v>
      </c>
      <c r="G57" s="4" t="s">
        <v>247</v>
      </c>
      <c r="H57" s="2" t="s">
        <v>19</v>
      </c>
      <c r="I57" s="5"/>
      <c r="J57" s="5"/>
      <c r="K57" s="5"/>
      <c r="L57" s="5"/>
      <c r="M57" s="5"/>
      <c r="N57" s="6"/>
    </row>
    <row r="58" spans="1:14" x14ac:dyDescent="0.25">
      <c r="A58" s="2">
        <v>57</v>
      </c>
      <c r="B58" s="2" t="s">
        <v>243</v>
      </c>
      <c r="C58" s="2" t="s">
        <v>248</v>
      </c>
      <c r="D58" s="2" t="s">
        <v>249</v>
      </c>
      <c r="E58" s="3" t="s">
        <v>250</v>
      </c>
      <c r="F58" s="2" t="s">
        <v>17</v>
      </c>
      <c r="G58" s="4" t="s">
        <v>251</v>
      </c>
      <c r="H58" s="2" t="s">
        <v>25</v>
      </c>
      <c r="I58" s="5"/>
      <c r="J58" s="5"/>
      <c r="K58" s="5"/>
      <c r="L58" s="5"/>
      <c r="M58" s="5"/>
      <c r="N58" s="6"/>
    </row>
    <row r="59" spans="1:14" ht="25.5" x14ac:dyDescent="0.25">
      <c r="A59" s="2">
        <v>58</v>
      </c>
      <c r="B59" s="2" t="s">
        <v>243</v>
      </c>
      <c r="C59" s="2" t="s">
        <v>252</v>
      </c>
      <c r="D59" s="2" t="s">
        <v>253</v>
      </c>
      <c r="E59" s="3" t="s">
        <v>254</v>
      </c>
      <c r="F59" s="2" t="s">
        <v>17</v>
      </c>
      <c r="G59" s="4" t="s">
        <v>255</v>
      </c>
      <c r="H59" s="2" t="s">
        <v>19</v>
      </c>
      <c r="I59" s="5"/>
      <c r="J59" s="5"/>
      <c r="K59" s="5"/>
      <c r="L59" s="5"/>
      <c r="M59" s="5"/>
      <c r="N59" s="6"/>
    </row>
    <row r="60" spans="1:14" ht="25.5" x14ac:dyDescent="0.25">
      <c r="A60" s="2">
        <v>59</v>
      </c>
      <c r="B60" s="2" t="s">
        <v>243</v>
      </c>
      <c r="C60" s="2" t="s">
        <v>256</v>
      </c>
      <c r="D60" s="2" t="s">
        <v>257</v>
      </c>
      <c r="E60" s="3" t="s">
        <v>258</v>
      </c>
      <c r="F60" s="2" t="s">
        <v>23</v>
      </c>
      <c r="G60" s="4" t="s">
        <v>259</v>
      </c>
      <c r="H60" s="2" t="s">
        <v>25</v>
      </c>
      <c r="I60" s="5"/>
      <c r="J60" s="5"/>
      <c r="K60" s="5"/>
      <c r="L60" s="5"/>
      <c r="M60" s="5"/>
      <c r="N60" s="6"/>
    </row>
    <row r="61" spans="1:14" x14ac:dyDescent="0.25">
      <c r="A61" s="2">
        <v>60</v>
      </c>
      <c r="B61" s="2" t="s">
        <v>243</v>
      </c>
      <c r="C61" s="2" t="s">
        <v>260</v>
      </c>
      <c r="D61" s="2" t="s">
        <v>261</v>
      </c>
      <c r="E61" s="3" t="s">
        <v>262</v>
      </c>
      <c r="F61" s="2" t="s">
        <v>17</v>
      </c>
      <c r="G61" s="4" t="s">
        <v>263</v>
      </c>
      <c r="H61" s="2" t="s">
        <v>19</v>
      </c>
      <c r="I61" s="5"/>
      <c r="J61" s="5"/>
      <c r="K61" s="5"/>
      <c r="L61" s="5"/>
      <c r="M61" s="5"/>
      <c r="N61" s="6"/>
    </row>
    <row r="62" spans="1:14" ht="25.5" x14ac:dyDescent="0.25">
      <c r="A62" s="2">
        <v>61</v>
      </c>
      <c r="B62" s="2" t="s">
        <v>243</v>
      </c>
      <c r="C62" s="2" t="s">
        <v>264</v>
      </c>
      <c r="D62" s="2" t="s">
        <v>265</v>
      </c>
      <c r="E62" s="3" t="s">
        <v>266</v>
      </c>
      <c r="F62" s="2" t="s">
        <v>23</v>
      </c>
      <c r="G62" s="4" t="s">
        <v>267</v>
      </c>
      <c r="H62" s="2" t="s">
        <v>25</v>
      </c>
      <c r="I62" s="5"/>
      <c r="J62" s="5"/>
      <c r="K62" s="5"/>
      <c r="L62" s="5"/>
      <c r="M62" s="5"/>
      <c r="N62" s="6"/>
    </row>
    <row r="63" spans="1:14" ht="38.25" x14ac:dyDescent="0.25">
      <c r="A63" s="2">
        <v>62</v>
      </c>
      <c r="B63" s="2" t="s">
        <v>243</v>
      </c>
      <c r="C63" s="2" t="s">
        <v>268</v>
      </c>
      <c r="D63" s="2" t="s">
        <v>269</v>
      </c>
      <c r="E63" s="3" t="s">
        <v>270</v>
      </c>
      <c r="F63" s="2" t="s">
        <v>17</v>
      </c>
      <c r="G63" s="4" t="s">
        <v>271</v>
      </c>
      <c r="H63" s="2" t="s">
        <v>19</v>
      </c>
      <c r="I63" s="5"/>
      <c r="J63" s="5"/>
      <c r="K63" s="5"/>
      <c r="L63" s="5"/>
      <c r="M63" s="5"/>
      <c r="N63" s="6"/>
    </row>
    <row r="64" spans="1:14" x14ac:dyDescent="0.25">
      <c r="A64" s="2">
        <v>63</v>
      </c>
      <c r="B64" s="2" t="s">
        <v>243</v>
      </c>
      <c r="C64" s="2" t="s">
        <v>272</v>
      </c>
      <c r="D64" s="2" t="s">
        <v>273</v>
      </c>
      <c r="E64" s="3" t="s">
        <v>274</v>
      </c>
      <c r="F64" s="2" t="s">
        <v>23</v>
      </c>
      <c r="G64" s="4" t="s">
        <v>275</v>
      </c>
      <c r="H64" s="2" t="s">
        <v>25</v>
      </c>
      <c r="I64" s="5"/>
      <c r="J64" s="5"/>
      <c r="K64" s="5"/>
      <c r="L64" s="5"/>
      <c r="M64" s="5"/>
      <c r="N64" s="6"/>
    </row>
    <row r="65" spans="1:14" x14ac:dyDescent="0.25">
      <c r="A65" s="2">
        <v>64</v>
      </c>
      <c r="B65" s="2" t="s">
        <v>243</v>
      </c>
      <c r="C65" s="2" t="s">
        <v>276</v>
      </c>
      <c r="D65" s="2" t="s">
        <v>277</v>
      </c>
      <c r="E65" s="3"/>
      <c r="F65" s="2" t="s">
        <v>23</v>
      </c>
      <c r="G65" s="4" t="s">
        <v>42</v>
      </c>
      <c r="H65" s="2" t="s">
        <v>278</v>
      </c>
      <c r="I65" s="5"/>
      <c r="J65" s="5"/>
      <c r="K65" s="5"/>
      <c r="L65" s="5"/>
      <c r="M65" s="5"/>
      <c r="N65" s="6"/>
    </row>
    <row r="66" spans="1:14" x14ac:dyDescent="0.25">
      <c r="A66" s="2">
        <v>65</v>
      </c>
      <c r="B66" s="2" t="s">
        <v>243</v>
      </c>
      <c r="C66" s="2" t="s">
        <v>279</v>
      </c>
      <c r="D66" s="2" t="s">
        <v>280</v>
      </c>
      <c r="E66" s="3" t="s">
        <v>281</v>
      </c>
      <c r="F66" s="2" t="s">
        <v>23</v>
      </c>
      <c r="G66" s="4" t="s">
        <v>282</v>
      </c>
      <c r="H66" s="2" t="s">
        <v>19</v>
      </c>
      <c r="I66" s="5"/>
      <c r="J66" s="5"/>
      <c r="K66" s="5"/>
      <c r="L66" s="5"/>
      <c r="M66" s="5"/>
      <c r="N66" s="6"/>
    </row>
    <row r="67" spans="1:14" ht="25.5" x14ac:dyDescent="0.25">
      <c r="A67" s="2">
        <v>66</v>
      </c>
      <c r="B67" s="2" t="s">
        <v>243</v>
      </c>
      <c r="C67" s="2" t="s">
        <v>283</v>
      </c>
      <c r="D67" s="2" t="s">
        <v>284</v>
      </c>
      <c r="E67" s="3" t="s">
        <v>285</v>
      </c>
      <c r="F67" s="2" t="s">
        <v>286</v>
      </c>
      <c r="G67" s="4" t="s">
        <v>287</v>
      </c>
      <c r="H67" s="2" t="s">
        <v>25</v>
      </c>
      <c r="I67" s="5"/>
      <c r="J67" s="5"/>
      <c r="K67" s="5"/>
      <c r="L67" s="5"/>
      <c r="M67" s="5"/>
      <c r="N67" s="6"/>
    </row>
    <row r="68" spans="1:14" ht="25.5" x14ac:dyDescent="0.25">
      <c r="A68" s="2">
        <v>67</v>
      </c>
      <c r="B68" s="2" t="s">
        <v>243</v>
      </c>
      <c r="C68" s="2" t="s">
        <v>288</v>
      </c>
      <c r="D68" s="2" t="s">
        <v>289</v>
      </c>
      <c r="E68" s="3" t="s">
        <v>290</v>
      </c>
      <c r="F68" s="2" t="s">
        <v>17</v>
      </c>
      <c r="G68" s="4" t="s">
        <v>291</v>
      </c>
      <c r="H68" s="2" t="s">
        <v>19</v>
      </c>
      <c r="I68" s="5"/>
      <c r="J68" s="5"/>
      <c r="K68" s="5"/>
      <c r="L68" s="5"/>
      <c r="M68" s="5"/>
      <c r="N68" s="6"/>
    </row>
    <row r="69" spans="1:14" x14ac:dyDescent="0.25">
      <c r="A69" s="2">
        <v>68</v>
      </c>
      <c r="B69" s="2" t="s">
        <v>243</v>
      </c>
      <c r="C69" s="2" t="s">
        <v>292</v>
      </c>
      <c r="D69" s="2" t="s">
        <v>293</v>
      </c>
      <c r="E69" s="3" t="s">
        <v>294</v>
      </c>
      <c r="F69" s="2" t="s">
        <v>23</v>
      </c>
      <c r="G69" s="4" t="s">
        <v>295</v>
      </c>
      <c r="H69" s="2" t="s">
        <v>25</v>
      </c>
      <c r="I69" s="5"/>
      <c r="J69" s="5"/>
      <c r="K69" s="5"/>
      <c r="L69" s="5"/>
      <c r="M69" s="5"/>
      <c r="N69" s="6"/>
    </row>
    <row r="70" spans="1:14" x14ac:dyDescent="0.25">
      <c r="A70" s="2">
        <v>69</v>
      </c>
      <c r="B70" s="2" t="s">
        <v>243</v>
      </c>
      <c r="C70" s="2" t="s">
        <v>296</v>
      </c>
      <c r="D70" s="2" t="s">
        <v>297</v>
      </c>
      <c r="E70" s="3" t="s">
        <v>298</v>
      </c>
      <c r="F70" s="2" t="s">
        <v>23</v>
      </c>
      <c r="G70" s="4" t="s">
        <v>42</v>
      </c>
      <c r="H70" s="2" t="s">
        <v>278</v>
      </c>
      <c r="I70" s="5"/>
      <c r="J70" s="5"/>
      <c r="K70" s="5"/>
      <c r="L70" s="5"/>
      <c r="M70" s="5"/>
      <c r="N70" s="6"/>
    </row>
    <row r="71" spans="1:14" ht="25.5" x14ac:dyDescent="0.25">
      <c r="A71" s="2">
        <v>70</v>
      </c>
      <c r="B71" s="2" t="s">
        <v>243</v>
      </c>
      <c r="C71" s="2" t="s">
        <v>299</v>
      </c>
      <c r="D71" s="2" t="s">
        <v>300</v>
      </c>
      <c r="E71" s="3" t="s">
        <v>301</v>
      </c>
      <c r="F71" s="2" t="s">
        <v>302</v>
      </c>
      <c r="G71" s="4" t="s">
        <v>303</v>
      </c>
      <c r="H71" s="2" t="s">
        <v>19</v>
      </c>
      <c r="I71" s="5"/>
      <c r="J71" s="5"/>
      <c r="K71" s="5"/>
      <c r="L71" s="5"/>
      <c r="M71" s="5"/>
      <c r="N71" s="6"/>
    </row>
    <row r="72" spans="1:14" x14ac:dyDescent="0.25">
      <c r="A72" s="2">
        <v>71</v>
      </c>
      <c r="B72" s="2" t="s">
        <v>243</v>
      </c>
      <c r="C72" s="2" t="s">
        <v>304</v>
      </c>
      <c r="D72" s="2" t="s">
        <v>305</v>
      </c>
      <c r="E72" s="3" t="s">
        <v>306</v>
      </c>
      <c r="F72" s="2" t="s">
        <v>17</v>
      </c>
      <c r="G72" s="4" t="s">
        <v>307</v>
      </c>
      <c r="H72" s="2" t="s">
        <v>25</v>
      </c>
      <c r="I72" s="5"/>
      <c r="J72" s="5"/>
      <c r="K72" s="5"/>
      <c r="L72" s="5"/>
      <c r="M72" s="5"/>
      <c r="N72" s="6"/>
    </row>
    <row r="73" spans="1:14" x14ac:dyDescent="0.25">
      <c r="A73" s="2">
        <v>72</v>
      </c>
      <c r="B73" s="2" t="s">
        <v>243</v>
      </c>
      <c r="C73" s="2" t="s">
        <v>308</v>
      </c>
      <c r="D73" s="2" t="s">
        <v>309</v>
      </c>
      <c r="E73" s="3" t="s">
        <v>310</v>
      </c>
      <c r="F73" s="2" t="s">
        <v>23</v>
      </c>
      <c r="G73" s="4" t="s">
        <v>311</v>
      </c>
      <c r="H73" s="2" t="s">
        <v>19</v>
      </c>
      <c r="I73" s="5"/>
      <c r="J73" s="5"/>
      <c r="K73" s="5"/>
      <c r="L73" s="5"/>
      <c r="M73" s="5"/>
      <c r="N73" s="6"/>
    </row>
    <row r="74" spans="1:14" ht="25.5" x14ac:dyDescent="0.25">
      <c r="A74" s="2">
        <v>73</v>
      </c>
      <c r="B74" s="2" t="s">
        <v>243</v>
      </c>
      <c r="C74" s="2" t="s">
        <v>312</v>
      </c>
      <c r="D74" s="2" t="s">
        <v>313</v>
      </c>
      <c r="E74" s="3" t="s">
        <v>314</v>
      </c>
      <c r="F74" s="2" t="s">
        <v>17</v>
      </c>
      <c r="G74" s="4" t="s">
        <v>315</v>
      </c>
      <c r="H74" s="2" t="s">
        <v>25</v>
      </c>
      <c r="I74" s="5"/>
      <c r="J74" s="5"/>
      <c r="K74" s="5"/>
      <c r="L74" s="5"/>
      <c r="M74" s="5"/>
      <c r="N74" s="6"/>
    </row>
    <row r="75" spans="1:14" x14ac:dyDescent="0.25">
      <c r="A75" s="2">
        <v>74</v>
      </c>
      <c r="B75" s="2" t="s">
        <v>243</v>
      </c>
      <c r="C75" s="2" t="s">
        <v>316</v>
      </c>
      <c r="D75" s="2" t="s">
        <v>317</v>
      </c>
      <c r="E75" s="3" t="s">
        <v>318</v>
      </c>
      <c r="F75" s="2" t="s">
        <v>319</v>
      </c>
      <c r="G75" s="4" t="s">
        <v>320</v>
      </c>
      <c r="H75" s="2" t="s">
        <v>19</v>
      </c>
      <c r="I75" s="5"/>
      <c r="J75" s="5"/>
      <c r="K75" s="5"/>
      <c r="L75" s="5"/>
      <c r="M75" s="5"/>
      <c r="N75" s="6"/>
    </row>
    <row r="76" spans="1:14" ht="25.5" x14ac:dyDescent="0.25">
      <c r="A76" s="2">
        <v>75</v>
      </c>
      <c r="B76" s="2" t="s">
        <v>243</v>
      </c>
      <c r="C76" s="2" t="s">
        <v>321</v>
      </c>
      <c r="D76" s="2" t="s">
        <v>322</v>
      </c>
      <c r="E76" s="3"/>
      <c r="F76" s="2" t="s">
        <v>17</v>
      </c>
      <c r="G76" s="4" t="s">
        <v>323</v>
      </c>
      <c r="H76" s="2" t="s">
        <v>25</v>
      </c>
      <c r="I76" s="5"/>
      <c r="J76" s="5"/>
      <c r="K76" s="5"/>
      <c r="L76" s="5"/>
      <c r="M76" s="5"/>
      <c r="N76" s="6"/>
    </row>
    <row r="77" spans="1:14" x14ac:dyDescent="0.25">
      <c r="A77" s="2">
        <v>76</v>
      </c>
      <c r="B77" s="2" t="s">
        <v>243</v>
      </c>
      <c r="C77" s="2" t="s">
        <v>324</v>
      </c>
      <c r="D77" s="2" t="s">
        <v>325</v>
      </c>
      <c r="E77" s="3"/>
      <c r="F77" s="2" t="s">
        <v>17</v>
      </c>
      <c r="G77" s="4" t="s">
        <v>326</v>
      </c>
      <c r="H77" s="2" t="s">
        <v>19</v>
      </c>
      <c r="I77" s="5"/>
      <c r="J77" s="5"/>
      <c r="K77" s="5"/>
      <c r="L77" s="5"/>
      <c r="M77" s="5"/>
      <c r="N77" s="6"/>
    </row>
    <row r="78" spans="1:14" ht="25.5" x14ac:dyDescent="0.25">
      <c r="A78" s="2">
        <v>77</v>
      </c>
      <c r="B78" s="2" t="s">
        <v>243</v>
      </c>
      <c r="C78" s="2" t="s">
        <v>327</v>
      </c>
      <c r="D78" s="2" t="s">
        <v>328</v>
      </c>
      <c r="E78" s="3" t="s">
        <v>329</v>
      </c>
      <c r="F78" s="2" t="s">
        <v>17</v>
      </c>
      <c r="G78" s="4" t="s">
        <v>330</v>
      </c>
      <c r="H78" s="2" t="s">
        <v>25</v>
      </c>
      <c r="I78" s="5"/>
      <c r="J78" s="5"/>
      <c r="K78" s="5"/>
      <c r="L78" s="5"/>
      <c r="M78" s="5"/>
      <c r="N78" s="6"/>
    </row>
    <row r="79" spans="1:14" x14ac:dyDescent="0.25">
      <c r="A79" s="2">
        <v>78</v>
      </c>
      <c r="B79" s="2" t="s">
        <v>331</v>
      </c>
      <c r="C79" s="2" t="s">
        <v>332</v>
      </c>
      <c r="D79" s="2" t="s">
        <v>333</v>
      </c>
      <c r="E79" s="3"/>
      <c r="F79" s="2" t="s">
        <v>17</v>
      </c>
      <c r="G79" s="4" t="s">
        <v>42</v>
      </c>
      <c r="H79" s="2" t="s">
        <v>278</v>
      </c>
      <c r="I79" s="5"/>
      <c r="J79" s="5"/>
      <c r="K79" s="5"/>
      <c r="L79" s="5"/>
      <c r="M79" s="5"/>
      <c r="N79" s="6"/>
    </row>
    <row r="80" spans="1:14" x14ac:dyDescent="0.25">
      <c r="A80" s="2">
        <v>79</v>
      </c>
      <c r="B80" s="2" t="s">
        <v>331</v>
      </c>
      <c r="C80" s="2" t="s">
        <v>334</v>
      </c>
      <c r="D80" s="2" t="s">
        <v>335</v>
      </c>
      <c r="E80" s="3"/>
      <c r="F80" s="2" t="s">
        <v>23</v>
      </c>
      <c r="G80" s="4" t="s">
        <v>336</v>
      </c>
      <c r="H80" s="2" t="s">
        <v>19</v>
      </c>
      <c r="I80" s="5"/>
      <c r="J80" s="5"/>
      <c r="K80" s="5"/>
      <c r="L80" s="5"/>
      <c r="M80" s="5"/>
      <c r="N80" s="6"/>
    </row>
    <row r="81" spans="1:14" x14ac:dyDescent="0.25">
      <c r="A81" s="2">
        <v>80</v>
      </c>
      <c r="B81" s="2" t="s">
        <v>331</v>
      </c>
      <c r="C81" s="2" t="s">
        <v>337</v>
      </c>
      <c r="D81" s="2" t="s">
        <v>338</v>
      </c>
      <c r="E81" s="3"/>
      <c r="F81" s="2" t="s">
        <v>23</v>
      </c>
      <c r="G81" s="4" t="s">
        <v>339</v>
      </c>
      <c r="H81" s="2" t="s">
        <v>25</v>
      </c>
      <c r="I81" s="5"/>
      <c r="J81" s="5"/>
      <c r="K81" s="5"/>
      <c r="L81" s="5"/>
      <c r="M81" s="5"/>
      <c r="N81" s="6"/>
    </row>
    <row r="82" spans="1:14" x14ac:dyDescent="0.25">
      <c r="A82" s="2">
        <v>81</v>
      </c>
      <c r="B82" s="2" t="s">
        <v>331</v>
      </c>
      <c r="C82" s="2" t="s">
        <v>340</v>
      </c>
      <c r="D82" s="2" t="s">
        <v>341</v>
      </c>
      <c r="E82" s="3" t="s">
        <v>342</v>
      </c>
      <c r="F82" s="2" t="s">
        <v>23</v>
      </c>
      <c r="G82" s="4" t="s">
        <v>343</v>
      </c>
      <c r="H82" s="2" t="s">
        <v>19</v>
      </c>
      <c r="I82" s="5"/>
      <c r="J82" s="5"/>
      <c r="K82" s="5"/>
      <c r="L82" s="5"/>
      <c r="M82" s="5"/>
      <c r="N82" s="6"/>
    </row>
    <row r="83" spans="1:14" ht="25.5" x14ac:dyDescent="0.25">
      <c r="A83" s="2">
        <v>82</v>
      </c>
      <c r="B83" s="2" t="s">
        <v>331</v>
      </c>
      <c r="C83" s="2" t="s">
        <v>344</v>
      </c>
      <c r="D83" s="2" t="s">
        <v>345</v>
      </c>
      <c r="E83" s="3" t="s">
        <v>346</v>
      </c>
      <c r="F83" s="2" t="s">
        <v>17</v>
      </c>
      <c r="G83" s="4" t="s">
        <v>347</v>
      </c>
      <c r="H83" s="2" t="s">
        <v>25</v>
      </c>
      <c r="I83" s="5"/>
      <c r="J83" s="5"/>
      <c r="K83" s="5"/>
      <c r="L83" s="5"/>
      <c r="M83" s="5"/>
      <c r="N83" s="6"/>
    </row>
    <row r="84" spans="1:14" ht="25.5" x14ac:dyDescent="0.25">
      <c r="A84" s="2">
        <v>83</v>
      </c>
      <c r="B84" s="2" t="s">
        <v>331</v>
      </c>
      <c r="C84" s="2" t="s">
        <v>348</v>
      </c>
      <c r="D84" s="2" t="s">
        <v>349</v>
      </c>
      <c r="E84" s="3" t="s">
        <v>350</v>
      </c>
      <c r="F84" s="2" t="s">
        <v>17</v>
      </c>
      <c r="G84" s="4" t="s">
        <v>351</v>
      </c>
      <c r="H84" s="2" t="s">
        <v>19</v>
      </c>
      <c r="I84" s="5"/>
      <c r="J84" s="5"/>
      <c r="K84" s="5"/>
      <c r="L84" s="5"/>
      <c r="M84" s="5"/>
      <c r="N84" s="6"/>
    </row>
    <row r="85" spans="1:14" ht="25.5" x14ac:dyDescent="0.25">
      <c r="A85" s="2">
        <v>84</v>
      </c>
      <c r="B85" s="2" t="s">
        <v>331</v>
      </c>
      <c r="C85" s="2" t="s">
        <v>352</v>
      </c>
      <c r="D85" s="2" t="s">
        <v>353</v>
      </c>
      <c r="E85" s="3" t="s">
        <v>354</v>
      </c>
      <c r="F85" s="2" t="s">
        <v>17</v>
      </c>
      <c r="G85" s="4" t="s">
        <v>355</v>
      </c>
      <c r="H85" s="2" t="s">
        <v>25</v>
      </c>
      <c r="I85" s="5"/>
      <c r="J85" s="5"/>
      <c r="K85" s="5"/>
      <c r="L85" s="5"/>
      <c r="M85" s="5"/>
      <c r="N85" s="6"/>
    </row>
    <row r="86" spans="1:14" x14ac:dyDescent="0.25">
      <c r="A86" s="2">
        <v>85</v>
      </c>
      <c r="B86" s="2" t="s">
        <v>331</v>
      </c>
      <c r="C86" s="2" t="s">
        <v>356</v>
      </c>
      <c r="D86" s="2" t="s">
        <v>357</v>
      </c>
      <c r="E86" s="3"/>
      <c r="F86" s="2" t="s">
        <v>17</v>
      </c>
      <c r="G86" s="4" t="s">
        <v>358</v>
      </c>
      <c r="H86" s="2" t="s">
        <v>19</v>
      </c>
      <c r="I86" s="5"/>
      <c r="J86" s="5"/>
      <c r="K86" s="5"/>
      <c r="L86" s="5"/>
      <c r="M86" s="5"/>
      <c r="N86" s="6"/>
    </row>
    <row r="87" spans="1:14" x14ac:dyDescent="0.25">
      <c r="A87" s="2">
        <v>86</v>
      </c>
      <c r="B87" s="2" t="s">
        <v>331</v>
      </c>
      <c r="C87" s="2" t="s">
        <v>359</v>
      </c>
      <c r="D87" s="2" t="s">
        <v>360</v>
      </c>
      <c r="E87" s="3" t="s">
        <v>361</v>
      </c>
      <c r="F87" s="2" t="s">
        <v>17</v>
      </c>
      <c r="G87" s="4" t="s">
        <v>42</v>
      </c>
      <c r="H87" s="2" t="s">
        <v>278</v>
      </c>
      <c r="I87" s="5"/>
      <c r="J87" s="5"/>
      <c r="K87" s="5"/>
      <c r="L87" s="5"/>
      <c r="M87" s="5"/>
      <c r="N87" s="6"/>
    </row>
    <row r="88" spans="1:14" ht="25.5" x14ac:dyDescent="0.25">
      <c r="A88" s="2">
        <v>87</v>
      </c>
      <c r="B88" s="2" t="s">
        <v>331</v>
      </c>
      <c r="C88" s="2" t="s">
        <v>362</v>
      </c>
      <c r="D88" s="2" t="s">
        <v>363</v>
      </c>
      <c r="E88" s="3" t="s">
        <v>364</v>
      </c>
      <c r="F88" s="2" t="s">
        <v>23</v>
      </c>
      <c r="G88" s="4" t="s">
        <v>365</v>
      </c>
      <c r="H88" s="2" t="s">
        <v>25</v>
      </c>
      <c r="I88" s="5"/>
      <c r="J88" s="5"/>
      <c r="K88" s="5"/>
      <c r="L88" s="5"/>
      <c r="M88" s="5"/>
      <c r="N88" s="6"/>
    </row>
    <row r="89" spans="1:14" ht="25.5" x14ac:dyDescent="0.25">
      <c r="A89" s="2">
        <v>88</v>
      </c>
      <c r="B89" s="2" t="s">
        <v>331</v>
      </c>
      <c r="C89" s="2" t="s">
        <v>366</v>
      </c>
      <c r="D89" s="2" t="s">
        <v>367</v>
      </c>
      <c r="E89" s="3"/>
      <c r="F89" s="2" t="s">
        <v>17</v>
      </c>
      <c r="G89" s="4" t="s">
        <v>368</v>
      </c>
      <c r="H89" s="2" t="s">
        <v>19</v>
      </c>
      <c r="I89" s="5"/>
      <c r="J89" s="5"/>
      <c r="K89" s="5"/>
      <c r="L89" s="5"/>
      <c r="M89" s="5"/>
      <c r="N89" s="6"/>
    </row>
    <row r="90" spans="1:14" x14ac:dyDescent="0.25">
      <c r="A90" s="2">
        <v>89</v>
      </c>
      <c r="B90" s="2" t="s">
        <v>331</v>
      </c>
      <c r="C90" s="2" t="s">
        <v>369</v>
      </c>
      <c r="D90" s="2" t="s">
        <v>370</v>
      </c>
      <c r="E90" s="3" t="s">
        <v>371</v>
      </c>
      <c r="F90" s="2" t="s">
        <v>17</v>
      </c>
      <c r="G90" s="4" t="s">
        <v>372</v>
      </c>
      <c r="H90" s="2" t="s">
        <v>25</v>
      </c>
      <c r="I90" s="5"/>
      <c r="J90" s="5"/>
      <c r="K90" s="5"/>
      <c r="L90" s="5"/>
      <c r="M90" s="5"/>
      <c r="N90" s="6"/>
    </row>
    <row r="91" spans="1:14" x14ac:dyDescent="0.25">
      <c r="A91" s="2">
        <v>90</v>
      </c>
      <c r="B91" s="2" t="s">
        <v>331</v>
      </c>
      <c r="C91" s="2" t="s">
        <v>373</v>
      </c>
      <c r="D91" s="2" t="s">
        <v>374</v>
      </c>
      <c r="E91" s="3"/>
      <c r="F91" s="2" t="s">
        <v>23</v>
      </c>
      <c r="G91" s="4" t="s">
        <v>375</v>
      </c>
      <c r="H91" s="2" t="s">
        <v>19</v>
      </c>
      <c r="I91" s="5"/>
      <c r="J91" s="5"/>
      <c r="K91" s="5"/>
      <c r="L91" s="5"/>
      <c r="M91" s="5"/>
      <c r="N91" s="6"/>
    </row>
    <row r="92" spans="1:14" ht="38.25" x14ac:dyDescent="0.25">
      <c r="A92" s="2">
        <v>91</v>
      </c>
      <c r="B92" s="2" t="s">
        <v>331</v>
      </c>
      <c r="C92" s="2" t="s">
        <v>376</v>
      </c>
      <c r="D92" s="2" t="s">
        <v>377</v>
      </c>
      <c r="E92" s="3" t="s">
        <v>378</v>
      </c>
      <c r="F92" s="2" t="s">
        <v>17</v>
      </c>
      <c r="G92" s="4" t="s">
        <v>379</v>
      </c>
      <c r="H92" s="2" t="s">
        <v>25</v>
      </c>
      <c r="I92" s="5"/>
      <c r="J92" s="5"/>
      <c r="K92" s="5"/>
      <c r="L92" s="5"/>
      <c r="M92" s="5"/>
      <c r="N92" s="6"/>
    </row>
    <row r="93" spans="1:14" ht="25.5" x14ac:dyDescent="0.25">
      <c r="A93" s="2">
        <v>92</v>
      </c>
      <c r="B93" s="2" t="s">
        <v>331</v>
      </c>
      <c r="C93" s="2" t="s">
        <v>380</v>
      </c>
      <c r="D93" s="2" t="s">
        <v>381</v>
      </c>
      <c r="E93" s="3"/>
      <c r="F93" s="2" t="s">
        <v>17</v>
      </c>
      <c r="G93" s="4" t="s">
        <v>382</v>
      </c>
      <c r="H93" s="2" t="s">
        <v>19</v>
      </c>
      <c r="I93" s="5"/>
      <c r="J93" s="5"/>
      <c r="K93" s="5"/>
      <c r="L93" s="5"/>
      <c r="M93" s="5"/>
      <c r="N93" s="6"/>
    </row>
    <row r="94" spans="1:14" ht="25.5" x14ac:dyDescent="0.25">
      <c r="A94" s="2">
        <v>93</v>
      </c>
      <c r="B94" s="2" t="s">
        <v>331</v>
      </c>
      <c r="C94" s="2" t="s">
        <v>383</v>
      </c>
      <c r="D94" s="2" t="s">
        <v>384</v>
      </c>
      <c r="E94" s="3"/>
      <c r="F94" s="2" t="s">
        <v>17</v>
      </c>
      <c r="G94" s="4" t="s">
        <v>385</v>
      </c>
      <c r="H94" s="2" t="s">
        <v>25</v>
      </c>
      <c r="I94" s="5"/>
      <c r="J94" s="5"/>
      <c r="K94" s="5"/>
      <c r="L94" s="5"/>
      <c r="M94" s="5"/>
      <c r="N94" s="6"/>
    </row>
    <row r="95" spans="1:14" x14ac:dyDescent="0.25">
      <c r="A95" s="2">
        <v>94</v>
      </c>
      <c r="B95" s="2" t="s">
        <v>331</v>
      </c>
      <c r="C95" s="2" t="s">
        <v>386</v>
      </c>
      <c r="D95" s="2" t="s">
        <v>387</v>
      </c>
      <c r="E95" s="3" t="s">
        <v>388</v>
      </c>
      <c r="F95" s="2" t="s">
        <v>17</v>
      </c>
      <c r="G95" s="4" t="s">
        <v>42</v>
      </c>
      <c r="H95" s="2" t="s">
        <v>278</v>
      </c>
      <c r="I95" s="5"/>
      <c r="J95" s="5"/>
      <c r="K95" s="5"/>
      <c r="L95" s="5"/>
      <c r="M95" s="5"/>
      <c r="N95" s="6"/>
    </row>
    <row r="96" spans="1:14" ht="25.5" x14ac:dyDescent="0.25">
      <c r="A96" s="2">
        <v>95</v>
      </c>
      <c r="B96" s="2" t="s">
        <v>331</v>
      </c>
      <c r="C96" s="2" t="s">
        <v>389</v>
      </c>
      <c r="D96" s="2" t="s">
        <v>390</v>
      </c>
      <c r="E96" s="3" t="s">
        <v>391</v>
      </c>
      <c r="F96" s="2" t="s">
        <v>23</v>
      </c>
      <c r="G96" s="4" t="s">
        <v>392</v>
      </c>
      <c r="H96" s="2" t="s">
        <v>19</v>
      </c>
      <c r="I96" s="5"/>
      <c r="J96" s="5"/>
      <c r="K96" s="5"/>
      <c r="L96" s="5"/>
      <c r="M96" s="5"/>
      <c r="N96" s="6"/>
    </row>
    <row r="97" spans="1:14" x14ac:dyDescent="0.25">
      <c r="A97" s="2">
        <v>96</v>
      </c>
      <c r="B97" s="2" t="s">
        <v>331</v>
      </c>
      <c r="C97" s="2" t="s">
        <v>393</v>
      </c>
      <c r="D97" s="2" t="s">
        <v>394</v>
      </c>
      <c r="E97" s="3" t="s">
        <v>395</v>
      </c>
      <c r="F97" s="2" t="s">
        <v>17</v>
      </c>
      <c r="G97" s="4" t="s">
        <v>396</v>
      </c>
      <c r="H97" s="2" t="s">
        <v>25</v>
      </c>
      <c r="I97" s="5"/>
      <c r="J97" s="5"/>
      <c r="K97" s="5"/>
      <c r="L97" s="5"/>
      <c r="M97" s="5"/>
      <c r="N97" s="6"/>
    </row>
    <row r="98" spans="1:14" ht="25.5" x14ac:dyDescent="0.25">
      <c r="A98" s="2">
        <v>97</v>
      </c>
      <c r="B98" s="2" t="s">
        <v>331</v>
      </c>
      <c r="C98" s="2" t="s">
        <v>397</v>
      </c>
      <c r="D98" s="2" t="s">
        <v>398</v>
      </c>
      <c r="E98" s="3" t="s">
        <v>399</v>
      </c>
      <c r="F98" s="2" t="s">
        <v>17</v>
      </c>
      <c r="G98" s="4" t="s">
        <v>400</v>
      </c>
      <c r="H98" s="2" t="s">
        <v>19</v>
      </c>
      <c r="I98" s="5"/>
      <c r="J98" s="5"/>
      <c r="K98" s="5"/>
      <c r="L98" s="5"/>
      <c r="M98" s="5"/>
      <c r="N98" s="6"/>
    </row>
    <row r="99" spans="1:14" x14ac:dyDescent="0.25">
      <c r="A99" s="2">
        <v>98</v>
      </c>
      <c r="B99" s="2" t="s">
        <v>331</v>
      </c>
      <c r="C99" s="2" t="s">
        <v>401</v>
      </c>
      <c r="D99" s="2" t="s">
        <v>402</v>
      </c>
      <c r="E99" s="3" t="s">
        <v>403</v>
      </c>
      <c r="F99" s="2" t="s">
        <v>17</v>
      </c>
      <c r="G99" s="4" t="s">
        <v>404</v>
      </c>
      <c r="H99" s="2" t="s">
        <v>25</v>
      </c>
      <c r="I99" s="5"/>
      <c r="J99" s="5"/>
      <c r="K99" s="5"/>
      <c r="L99" s="5"/>
      <c r="M99" s="5"/>
      <c r="N99" s="6"/>
    </row>
    <row r="100" spans="1:14" ht="25.5" x14ac:dyDescent="0.25">
      <c r="A100" s="2">
        <v>99</v>
      </c>
      <c r="B100" s="2" t="s">
        <v>331</v>
      </c>
      <c r="C100" s="2" t="s">
        <v>405</v>
      </c>
      <c r="D100" s="2" t="s">
        <v>406</v>
      </c>
      <c r="E100" s="3" t="s">
        <v>407</v>
      </c>
      <c r="F100" s="2" t="s">
        <v>23</v>
      </c>
      <c r="G100" s="4" t="s">
        <v>408</v>
      </c>
      <c r="H100" s="2" t="s">
        <v>19</v>
      </c>
      <c r="I100" s="5"/>
      <c r="J100" s="5"/>
      <c r="K100" s="5"/>
      <c r="L100" s="5"/>
      <c r="M100" s="5"/>
      <c r="N100" s="6"/>
    </row>
    <row r="101" spans="1:14" x14ac:dyDescent="0.25">
      <c r="A101" s="2">
        <v>100</v>
      </c>
      <c r="B101" s="2" t="s">
        <v>331</v>
      </c>
      <c r="C101" s="2" t="s">
        <v>409</v>
      </c>
      <c r="D101" s="2" t="s">
        <v>410</v>
      </c>
      <c r="E101" s="3" t="s">
        <v>411</v>
      </c>
      <c r="F101" s="2" t="s">
        <v>23</v>
      </c>
      <c r="G101" s="4" t="s">
        <v>412</v>
      </c>
      <c r="H101" s="2" t="s">
        <v>25</v>
      </c>
      <c r="I101" s="5"/>
      <c r="J101" s="5"/>
      <c r="K101" s="5"/>
      <c r="L101" s="5"/>
      <c r="M101" s="5"/>
      <c r="N101" s="6"/>
    </row>
    <row r="102" spans="1:14" x14ac:dyDescent="0.25">
      <c r="A102" s="2">
        <v>101</v>
      </c>
      <c r="B102" s="2" t="s">
        <v>331</v>
      </c>
      <c r="C102" s="2" t="s">
        <v>413</v>
      </c>
      <c r="D102" s="2" t="s">
        <v>414</v>
      </c>
      <c r="E102" s="3"/>
      <c r="F102" s="2" t="s">
        <v>23</v>
      </c>
      <c r="G102" s="4" t="s">
        <v>415</v>
      </c>
      <c r="H102" s="2" t="s">
        <v>19</v>
      </c>
      <c r="I102" s="5"/>
      <c r="J102" s="5"/>
      <c r="K102" s="5"/>
      <c r="L102" s="5"/>
      <c r="M102" s="5"/>
      <c r="N102" s="6"/>
    </row>
    <row r="103" spans="1:14" x14ac:dyDescent="0.25">
      <c r="A103" s="2">
        <v>102</v>
      </c>
      <c r="B103" s="2" t="s">
        <v>331</v>
      </c>
      <c r="C103" s="2" t="s">
        <v>416</v>
      </c>
      <c r="D103" s="2" t="s">
        <v>417</v>
      </c>
      <c r="E103" s="3" t="s">
        <v>418</v>
      </c>
      <c r="F103" s="2" t="s">
        <v>23</v>
      </c>
      <c r="G103" s="4" t="s">
        <v>419</v>
      </c>
      <c r="H103" s="2" t="s">
        <v>25</v>
      </c>
      <c r="I103" s="5"/>
      <c r="J103" s="5"/>
      <c r="K103" s="5"/>
      <c r="L103" s="5"/>
      <c r="M103" s="5"/>
      <c r="N103" s="6"/>
    </row>
    <row r="104" spans="1:14" ht="38.25" x14ac:dyDescent="0.25">
      <c r="A104" s="2">
        <v>103</v>
      </c>
      <c r="B104" s="2" t="s">
        <v>331</v>
      </c>
      <c r="C104" s="2" t="s">
        <v>420</v>
      </c>
      <c r="D104" s="2" t="s">
        <v>421</v>
      </c>
      <c r="E104" s="3"/>
      <c r="F104" s="2" t="s">
        <v>23</v>
      </c>
      <c r="G104" s="4" t="s">
        <v>422</v>
      </c>
      <c r="H104" s="2" t="s">
        <v>19</v>
      </c>
      <c r="I104" s="5"/>
      <c r="J104" s="5"/>
      <c r="K104" s="5"/>
      <c r="L104" s="5"/>
      <c r="M104" s="5"/>
      <c r="N104" s="6"/>
    </row>
    <row r="105" spans="1:14" x14ac:dyDescent="0.25">
      <c r="A105" s="2">
        <v>104</v>
      </c>
      <c r="B105" s="2" t="s">
        <v>331</v>
      </c>
      <c r="C105" s="2" t="s">
        <v>423</v>
      </c>
      <c r="D105" s="2" t="s">
        <v>424</v>
      </c>
      <c r="E105" s="3" t="s">
        <v>425</v>
      </c>
      <c r="F105" s="2" t="s">
        <v>23</v>
      </c>
      <c r="G105" s="4" t="s">
        <v>426</v>
      </c>
      <c r="H105" s="2" t="s">
        <v>25</v>
      </c>
      <c r="I105" s="5"/>
      <c r="J105" s="5"/>
      <c r="K105" s="5"/>
      <c r="L105" s="5"/>
      <c r="M105" s="5"/>
      <c r="N105" s="6"/>
    </row>
    <row r="106" spans="1:14" ht="25.5" x14ac:dyDescent="0.25">
      <c r="A106" s="2">
        <v>105</v>
      </c>
      <c r="B106" s="2" t="s">
        <v>331</v>
      </c>
      <c r="C106" s="2" t="s">
        <v>427</v>
      </c>
      <c r="D106" s="2" t="s">
        <v>428</v>
      </c>
      <c r="E106" s="3" t="s">
        <v>429</v>
      </c>
      <c r="F106" s="2" t="s">
        <v>23</v>
      </c>
      <c r="G106" s="4" t="s">
        <v>430</v>
      </c>
      <c r="H106" s="2" t="s">
        <v>19</v>
      </c>
      <c r="I106" s="5"/>
      <c r="J106" s="5"/>
      <c r="K106" s="5"/>
      <c r="L106" s="5"/>
      <c r="M106" s="5"/>
      <c r="N106" s="6"/>
    </row>
    <row r="107" spans="1:14" x14ac:dyDescent="0.25">
      <c r="A107" s="2">
        <v>106</v>
      </c>
      <c r="B107" s="2" t="s">
        <v>331</v>
      </c>
      <c r="C107" s="2" t="s">
        <v>431</v>
      </c>
      <c r="D107" s="2" t="s">
        <v>432</v>
      </c>
      <c r="E107" s="3" t="s">
        <v>433</v>
      </c>
      <c r="F107" s="2" t="s">
        <v>23</v>
      </c>
      <c r="G107" s="4" t="s">
        <v>434</v>
      </c>
      <c r="H107" s="2" t="s">
        <v>25</v>
      </c>
      <c r="I107" s="5"/>
      <c r="J107" s="5"/>
      <c r="K107" s="5"/>
      <c r="L107" s="5"/>
      <c r="M107" s="5"/>
      <c r="N107" s="6"/>
    </row>
    <row r="108" spans="1:14" x14ac:dyDescent="0.25">
      <c r="A108" s="2">
        <v>107</v>
      </c>
      <c r="B108" s="2" t="s">
        <v>331</v>
      </c>
      <c r="C108" s="2" t="s">
        <v>435</v>
      </c>
      <c r="D108" s="2" t="s">
        <v>436</v>
      </c>
      <c r="E108" s="3" t="s">
        <v>437</v>
      </c>
      <c r="F108" s="2" t="s">
        <v>17</v>
      </c>
      <c r="G108" s="4" t="s">
        <v>438</v>
      </c>
      <c r="H108" s="2" t="s">
        <v>19</v>
      </c>
      <c r="I108" s="5"/>
      <c r="J108" s="5"/>
      <c r="K108" s="5"/>
      <c r="L108" s="5"/>
      <c r="M108" s="5"/>
      <c r="N108" s="6"/>
    </row>
    <row r="109" spans="1:14" ht="25.5" x14ac:dyDescent="0.25">
      <c r="A109" s="2">
        <v>108</v>
      </c>
      <c r="B109" s="2" t="s">
        <v>331</v>
      </c>
      <c r="C109" s="2" t="s">
        <v>439</v>
      </c>
      <c r="D109" s="2" t="s">
        <v>440</v>
      </c>
      <c r="E109" s="3" t="s">
        <v>441</v>
      </c>
      <c r="F109" s="2" t="s">
        <v>23</v>
      </c>
      <c r="G109" s="4" t="s">
        <v>442</v>
      </c>
      <c r="H109" s="2" t="s">
        <v>25</v>
      </c>
      <c r="I109" s="5"/>
      <c r="J109" s="5"/>
      <c r="K109" s="5"/>
      <c r="L109" s="5"/>
      <c r="M109" s="5"/>
      <c r="N109" s="6"/>
    </row>
    <row r="110" spans="1:14" ht="38.25" x14ac:dyDescent="0.25">
      <c r="A110" s="2">
        <v>109</v>
      </c>
      <c r="B110" s="2" t="s">
        <v>331</v>
      </c>
      <c r="C110" s="2" t="s">
        <v>443</v>
      </c>
      <c r="D110" s="2" t="s">
        <v>444</v>
      </c>
      <c r="E110" s="3" t="s">
        <v>445</v>
      </c>
      <c r="F110" s="2" t="s">
        <v>23</v>
      </c>
      <c r="G110" s="4" t="s">
        <v>446</v>
      </c>
      <c r="H110" s="2" t="s">
        <v>19</v>
      </c>
      <c r="I110" s="5"/>
      <c r="J110" s="5"/>
      <c r="K110" s="5"/>
      <c r="L110" s="5"/>
      <c r="M110" s="5"/>
      <c r="N110" s="6"/>
    </row>
    <row r="111" spans="1:14" ht="38.25" x14ac:dyDescent="0.25">
      <c r="A111" s="2">
        <v>110</v>
      </c>
      <c r="B111" s="2" t="s">
        <v>331</v>
      </c>
      <c r="C111" s="2" t="s">
        <v>447</v>
      </c>
      <c r="D111" s="2" t="s">
        <v>448</v>
      </c>
      <c r="E111" s="3"/>
      <c r="F111" s="2" t="s">
        <v>17</v>
      </c>
      <c r="G111" s="4" t="s">
        <v>449</v>
      </c>
      <c r="H111" s="2" t="s">
        <v>25</v>
      </c>
      <c r="I111" s="5"/>
      <c r="J111" s="5"/>
      <c r="K111" s="5"/>
      <c r="L111" s="5"/>
      <c r="M111" s="5"/>
      <c r="N111" s="6"/>
    </row>
    <row r="112" spans="1:14" ht="25.5" x14ac:dyDescent="0.25">
      <c r="A112" s="2">
        <v>111</v>
      </c>
      <c r="B112" s="2" t="s">
        <v>331</v>
      </c>
      <c r="C112" s="2" t="s">
        <v>450</v>
      </c>
      <c r="D112" s="2" t="s">
        <v>451</v>
      </c>
      <c r="E112" s="3" t="s">
        <v>452</v>
      </c>
      <c r="F112" s="2" t="s">
        <v>453</v>
      </c>
      <c r="G112" s="4" t="s">
        <v>454</v>
      </c>
      <c r="H112" s="2" t="s">
        <v>19</v>
      </c>
      <c r="I112" s="5"/>
      <c r="J112" s="5"/>
      <c r="K112" s="5"/>
      <c r="L112" s="5"/>
      <c r="M112" s="5"/>
      <c r="N112" s="6"/>
    </row>
    <row r="113" spans="1:14" x14ac:dyDescent="0.25">
      <c r="A113" s="2">
        <v>112</v>
      </c>
      <c r="B113" s="2" t="s">
        <v>331</v>
      </c>
      <c r="C113" s="2" t="s">
        <v>455</v>
      </c>
      <c r="D113" s="2" t="s">
        <v>456</v>
      </c>
      <c r="E113" s="3" t="s">
        <v>457</v>
      </c>
      <c r="F113" s="2" t="s">
        <v>23</v>
      </c>
      <c r="G113" s="4" t="s">
        <v>458</v>
      </c>
      <c r="H113" s="2" t="s">
        <v>25</v>
      </c>
      <c r="I113" s="5"/>
      <c r="J113" s="5"/>
      <c r="K113" s="5"/>
      <c r="L113" s="5"/>
      <c r="M113" s="5"/>
      <c r="N113" s="6"/>
    </row>
    <row r="114" spans="1:14" x14ac:dyDescent="0.25">
      <c r="A114" s="2">
        <v>113</v>
      </c>
      <c r="B114" s="2" t="s">
        <v>331</v>
      </c>
      <c r="C114" s="2" t="s">
        <v>459</v>
      </c>
      <c r="D114" s="2" t="s">
        <v>460</v>
      </c>
      <c r="E114" s="3" t="s">
        <v>461</v>
      </c>
      <c r="F114" s="2" t="s">
        <v>23</v>
      </c>
      <c r="G114" s="4" t="s">
        <v>42</v>
      </c>
      <c r="H114" s="2" t="s">
        <v>278</v>
      </c>
      <c r="I114" s="5"/>
      <c r="J114" s="5"/>
      <c r="K114" s="5"/>
      <c r="L114" s="5"/>
      <c r="M114" s="5"/>
      <c r="N114" s="6"/>
    </row>
    <row r="115" spans="1:14" ht="38.25" x14ac:dyDescent="0.25">
      <c r="A115" s="2">
        <v>114</v>
      </c>
      <c r="B115" s="2" t="s">
        <v>331</v>
      </c>
      <c r="C115" s="2" t="s">
        <v>462</v>
      </c>
      <c r="D115" s="2" t="s">
        <v>463</v>
      </c>
      <c r="E115" s="3"/>
      <c r="F115" s="2" t="s">
        <v>23</v>
      </c>
      <c r="G115" s="4" t="s">
        <v>464</v>
      </c>
      <c r="H115" s="2" t="s">
        <v>19</v>
      </c>
      <c r="I115" s="5"/>
      <c r="J115" s="5"/>
      <c r="K115" s="5"/>
      <c r="L115" s="5"/>
      <c r="M115" s="5"/>
      <c r="N115" s="6"/>
    </row>
    <row r="116" spans="1:14" ht="25.5" x14ac:dyDescent="0.25">
      <c r="A116" s="2">
        <v>115</v>
      </c>
      <c r="B116" s="2" t="s">
        <v>331</v>
      </c>
      <c r="C116" s="2" t="s">
        <v>465</v>
      </c>
      <c r="D116" s="2" t="s">
        <v>466</v>
      </c>
      <c r="E116" s="3" t="s">
        <v>467</v>
      </c>
      <c r="F116" s="2" t="s">
        <v>17</v>
      </c>
      <c r="G116" s="4" t="s">
        <v>468</v>
      </c>
      <c r="H116" s="2" t="s">
        <v>25</v>
      </c>
      <c r="I116" s="5"/>
      <c r="J116" s="5"/>
      <c r="K116" s="5"/>
      <c r="L116" s="5"/>
      <c r="M116" s="5"/>
      <c r="N116" s="6"/>
    </row>
    <row r="117" spans="1:14" ht="25.5" x14ac:dyDescent="0.25">
      <c r="A117" s="2">
        <v>116</v>
      </c>
      <c r="B117" s="2" t="s">
        <v>331</v>
      </c>
      <c r="C117" s="2" t="s">
        <v>469</v>
      </c>
      <c r="D117" s="2" t="s">
        <v>470</v>
      </c>
      <c r="E117" s="3" t="s">
        <v>471</v>
      </c>
      <c r="F117" s="2" t="s">
        <v>472</v>
      </c>
      <c r="G117" s="4" t="s">
        <v>473</v>
      </c>
      <c r="H117" s="2" t="s">
        <v>19</v>
      </c>
      <c r="I117" s="5"/>
      <c r="J117" s="5"/>
      <c r="K117" s="5"/>
      <c r="L117" s="5"/>
      <c r="M117" s="5"/>
      <c r="N117" s="6"/>
    </row>
    <row r="118" spans="1:14" ht="25.5" x14ac:dyDescent="0.25">
      <c r="A118" s="2">
        <v>117</v>
      </c>
      <c r="B118" s="2" t="s">
        <v>331</v>
      </c>
      <c r="C118" s="2" t="s">
        <v>474</v>
      </c>
      <c r="D118" s="2" t="s">
        <v>475</v>
      </c>
      <c r="E118" s="3" t="s">
        <v>476</v>
      </c>
      <c r="F118" s="2" t="s">
        <v>477</v>
      </c>
      <c r="G118" s="4" t="s">
        <v>478</v>
      </c>
      <c r="H118" s="2" t="s">
        <v>25</v>
      </c>
      <c r="I118" s="5"/>
      <c r="J118" s="5"/>
      <c r="K118" s="5"/>
      <c r="L118" s="5"/>
      <c r="M118" s="5"/>
      <c r="N118" s="6"/>
    </row>
    <row r="119" spans="1:14" x14ac:dyDescent="0.25">
      <c r="A119" s="2">
        <v>118</v>
      </c>
      <c r="B119" s="2" t="s">
        <v>331</v>
      </c>
      <c r="C119" s="2" t="s">
        <v>479</v>
      </c>
      <c r="D119" s="2" t="s">
        <v>480</v>
      </c>
      <c r="E119" s="3" t="s">
        <v>481</v>
      </c>
      <c r="F119" s="2" t="s">
        <v>17</v>
      </c>
      <c r="G119" s="4" t="s">
        <v>482</v>
      </c>
      <c r="H119" s="2" t="s">
        <v>19</v>
      </c>
      <c r="I119" s="5"/>
      <c r="J119" s="5"/>
      <c r="K119" s="5"/>
      <c r="L119" s="5"/>
      <c r="M119" s="5"/>
      <c r="N119" s="6"/>
    </row>
    <row r="120" spans="1:14" ht="25.5" x14ac:dyDescent="0.25">
      <c r="A120" s="2">
        <v>119</v>
      </c>
      <c r="B120" s="2" t="s">
        <v>331</v>
      </c>
      <c r="C120" s="2" t="s">
        <v>483</v>
      </c>
      <c r="D120" s="2" t="s">
        <v>484</v>
      </c>
      <c r="E120" s="3"/>
      <c r="F120" s="2" t="s">
        <v>23</v>
      </c>
      <c r="G120" s="4" t="s">
        <v>485</v>
      </c>
      <c r="H120" s="2" t="s">
        <v>25</v>
      </c>
      <c r="I120" s="5"/>
      <c r="J120" s="5"/>
      <c r="K120" s="5"/>
      <c r="L120" s="5"/>
      <c r="M120" s="5"/>
      <c r="N120" s="6"/>
    </row>
    <row r="121" spans="1:14" x14ac:dyDescent="0.25">
      <c r="A121" s="2">
        <v>120</v>
      </c>
      <c r="B121" s="2" t="s">
        <v>331</v>
      </c>
      <c r="C121" s="2" t="s">
        <v>486</v>
      </c>
      <c r="D121" s="2" t="s">
        <v>487</v>
      </c>
      <c r="E121" s="3" t="s">
        <v>488</v>
      </c>
      <c r="F121" s="2" t="s">
        <v>23</v>
      </c>
      <c r="G121" s="4" t="s">
        <v>489</v>
      </c>
      <c r="H121" s="2" t="s">
        <v>19</v>
      </c>
      <c r="I121" s="5"/>
      <c r="J121" s="5"/>
      <c r="K121" s="5"/>
      <c r="L121" s="5"/>
      <c r="M121" s="5"/>
      <c r="N121" s="6"/>
    </row>
    <row r="122" spans="1:14" ht="38.25" x14ac:dyDescent="0.25">
      <c r="A122" s="2">
        <v>121</v>
      </c>
      <c r="B122" s="2" t="s">
        <v>331</v>
      </c>
      <c r="C122" s="2" t="s">
        <v>490</v>
      </c>
      <c r="D122" s="2" t="s">
        <v>491</v>
      </c>
      <c r="E122" s="3"/>
      <c r="F122" s="2" t="s">
        <v>17</v>
      </c>
      <c r="G122" s="4" t="s">
        <v>492</v>
      </c>
      <c r="H122" s="2" t="s">
        <v>25</v>
      </c>
      <c r="I122" s="5"/>
      <c r="J122" s="5"/>
      <c r="K122" s="5"/>
      <c r="L122" s="5"/>
      <c r="M122" s="5"/>
      <c r="N122" s="6"/>
    </row>
    <row r="123" spans="1:14" ht="25.5" x14ac:dyDescent="0.25">
      <c r="A123" s="2">
        <v>122</v>
      </c>
      <c r="B123" s="2" t="s">
        <v>331</v>
      </c>
      <c r="C123" s="2" t="s">
        <v>493</v>
      </c>
      <c r="D123" s="2" t="s">
        <v>494</v>
      </c>
      <c r="E123" s="3"/>
      <c r="F123" s="2" t="s">
        <v>23</v>
      </c>
      <c r="G123" s="4" t="s">
        <v>495</v>
      </c>
      <c r="H123" s="2" t="s">
        <v>19</v>
      </c>
      <c r="I123" s="5"/>
      <c r="J123" s="5"/>
      <c r="K123" s="5"/>
      <c r="L123" s="5"/>
      <c r="M123" s="5"/>
      <c r="N123" s="6"/>
    </row>
    <row r="124" spans="1:14" x14ac:dyDescent="0.25">
      <c r="A124" s="2">
        <v>123</v>
      </c>
      <c r="B124" s="2" t="s">
        <v>331</v>
      </c>
      <c r="C124" s="2" t="s">
        <v>496</v>
      </c>
      <c r="D124" s="2" t="s">
        <v>497</v>
      </c>
      <c r="E124" s="3" t="s">
        <v>498</v>
      </c>
      <c r="F124" s="2" t="s">
        <v>23</v>
      </c>
      <c r="G124" s="4" t="s">
        <v>499</v>
      </c>
      <c r="H124" s="2" t="s">
        <v>25</v>
      </c>
      <c r="I124" s="5"/>
      <c r="J124" s="5"/>
      <c r="K124" s="5"/>
      <c r="L124" s="5"/>
      <c r="M124" s="5"/>
      <c r="N124" s="6"/>
    </row>
    <row r="125" spans="1:14" x14ac:dyDescent="0.25">
      <c r="A125" s="2">
        <v>124</v>
      </c>
      <c r="B125" s="2" t="s">
        <v>331</v>
      </c>
      <c r="C125" s="2" t="s">
        <v>500</v>
      </c>
      <c r="D125" s="2" t="s">
        <v>501</v>
      </c>
      <c r="E125" s="3" t="s">
        <v>502</v>
      </c>
      <c r="F125" s="2" t="s">
        <v>23</v>
      </c>
      <c r="G125" s="4" t="s">
        <v>42</v>
      </c>
      <c r="H125" s="2" t="s">
        <v>278</v>
      </c>
      <c r="I125" s="5"/>
      <c r="J125" s="5"/>
      <c r="K125" s="5"/>
      <c r="L125" s="5"/>
      <c r="M125" s="5"/>
      <c r="N125" s="6"/>
    </row>
    <row r="126" spans="1:14" ht="25.5" x14ac:dyDescent="0.25">
      <c r="A126" s="2">
        <v>125</v>
      </c>
      <c r="B126" s="2" t="s">
        <v>331</v>
      </c>
      <c r="C126" s="2" t="s">
        <v>503</v>
      </c>
      <c r="D126" s="2" t="s">
        <v>504</v>
      </c>
      <c r="E126" s="3" t="s">
        <v>505</v>
      </c>
      <c r="F126" s="2" t="s">
        <v>23</v>
      </c>
      <c r="G126" s="4" t="s">
        <v>506</v>
      </c>
      <c r="H126" s="2" t="s">
        <v>19</v>
      </c>
      <c r="I126" s="5"/>
      <c r="J126" s="5"/>
      <c r="K126" s="5"/>
      <c r="L126" s="5"/>
      <c r="M126" s="5"/>
      <c r="N126" s="6"/>
    </row>
    <row r="127" spans="1:14" ht="38.25" x14ac:dyDescent="0.25">
      <c r="A127" s="2">
        <v>126</v>
      </c>
      <c r="B127" s="2" t="s">
        <v>331</v>
      </c>
      <c r="C127" s="2" t="s">
        <v>507</v>
      </c>
      <c r="D127" s="2" t="s">
        <v>508</v>
      </c>
      <c r="E127" s="3" t="s">
        <v>509</v>
      </c>
      <c r="F127" s="2" t="s">
        <v>23</v>
      </c>
      <c r="G127" s="4" t="s">
        <v>510</v>
      </c>
      <c r="H127" s="2" t="s">
        <v>25</v>
      </c>
      <c r="I127" s="5"/>
      <c r="J127" s="5"/>
      <c r="K127" s="5"/>
      <c r="L127" s="5"/>
      <c r="M127" s="5"/>
      <c r="N127" s="6"/>
    </row>
    <row r="128" spans="1:14" ht="38.25" x14ac:dyDescent="0.25">
      <c r="A128" s="2">
        <v>127</v>
      </c>
      <c r="B128" s="2" t="s">
        <v>331</v>
      </c>
      <c r="C128" s="2" t="s">
        <v>511</v>
      </c>
      <c r="D128" s="2" t="s">
        <v>512</v>
      </c>
      <c r="E128" s="3" t="s">
        <v>513</v>
      </c>
      <c r="F128" s="2" t="s">
        <v>17</v>
      </c>
      <c r="G128" s="4" t="s">
        <v>514</v>
      </c>
      <c r="H128" s="2" t="s">
        <v>19</v>
      </c>
      <c r="I128" s="5"/>
      <c r="J128" s="5"/>
      <c r="K128" s="5"/>
      <c r="L128" s="5"/>
      <c r="M128" s="5"/>
      <c r="N128" s="6"/>
    </row>
    <row r="129" spans="1:14" ht="25.5" x14ac:dyDescent="0.25">
      <c r="A129" s="2">
        <v>128</v>
      </c>
      <c r="B129" s="2" t="s">
        <v>331</v>
      </c>
      <c r="C129" s="2" t="s">
        <v>515</v>
      </c>
      <c r="D129" s="2" t="s">
        <v>516</v>
      </c>
      <c r="E129" s="3"/>
      <c r="F129" s="2" t="s">
        <v>17</v>
      </c>
      <c r="G129" s="4" t="s">
        <v>517</v>
      </c>
      <c r="H129" s="2" t="s">
        <v>25</v>
      </c>
      <c r="I129" s="5"/>
      <c r="J129" s="5"/>
      <c r="K129" s="5"/>
      <c r="L129" s="5"/>
      <c r="M129" s="5"/>
      <c r="N129" s="6"/>
    </row>
    <row r="130" spans="1:14" x14ac:dyDescent="0.25">
      <c r="A130" s="2">
        <v>129</v>
      </c>
      <c r="B130" s="2" t="s">
        <v>331</v>
      </c>
      <c r="C130" s="2" t="s">
        <v>518</v>
      </c>
      <c r="D130" s="2" t="s">
        <v>519</v>
      </c>
      <c r="E130" s="3" t="s">
        <v>520</v>
      </c>
      <c r="F130" s="2" t="s">
        <v>17</v>
      </c>
      <c r="G130" s="4" t="s">
        <v>521</v>
      </c>
      <c r="H130" s="2" t="s">
        <v>19</v>
      </c>
      <c r="I130" s="5"/>
      <c r="J130" s="5"/>
      <c r="K130" s="5"/>
      <c r="L130" s="5"/>
      <c r="M130" s="5"/>
      <c r="N130" s="6"/>
    </row>
    <row r="131" spans="1:14" x14ac:dyDescent="0.25">
      <c r="A131" s="2">
        <v>130</v>
      </c>
      <c r="B131" s="2" t="s">
        <v>331</v>
      </c>
      <c r="C131" s="2" t="s">
        <v>522</v>
      </c>
      <c r="D131" s="2" t="s">
        <v>523</v>
      </c>
      <c r="E131" s="3"/>
      <c r="F131" s="2" t="s">
        <v>23</v>
      </c>
      <c r="G131" s="4" t="s">
        <v>524</v>
      </c>
      <c r="H131" s="2" t="s">
        <v>25</v>
      </c>
      <c r="I131" s="5"/>
      <c r="J131" s="5"/>
      <c r="K131" s="5"/>
      <c r="L131" s="5"/>
      <c r="M131" s="5"/>
      <c r="N131" s="6"/>
    </row>
    <row r="132" spans="1:14" ht="25.5" x14ac:dyDescent="0.25">
      <c r="A132" s="2">
        <v>131</v>
      </c>
      <c r="B132" s="2" t="s">
        <v>331</v>
      </c>
      <c r="C132" s="2" t="s">
        <v>525</v>
      </c>
      <c r="D132" s="2" t="s">
        <v>526</v>
      </c>
      <c r="E132" s="3"/>
      <c r="F132" s="2" t="s">
        <v>23</v>
      </c>
      <c r="G132" s="4" t="s">
        <v>527</v>
      </c>
      <c r="H132" s="2" t="s">
        <v>19</v>
      </c>
      <c r="I132" s="5"/>
      <c r="J132" s="5"/>
      <c r="K132" s="5"/>
      <c r="L132" s="5"/>
      <c r="M132" s="5"/>
      <c r="N132" s="6"/>
    </row>
    <row r="133" spans="1:14" x14ac:dyDescent="0.25">
      <c r="A133" s="2">
        <v>132</v>
      </c>
      <c r="B133" s="2" t="s">
        <v>331</v>
      </c>
      <c r="C133" s="2" t="s">
        <v>528</v>
      </c>
      <c r="D133" s="2" t="s">
        <v>529</v>
      </c>
      <c r="E133" s="3" t="s">
        <v>530</v>
      </c>
      <c r="F133" s="2" t="s">
        <v>23</v>
      </c>
      <c r="G133" s="4" t="s">
        <v>531</v>
      </c>
      <c r="H133" s="2" t="s">
        <v>25</v>
      </c>
      <c r="I133" s="5"/>
      <c r="J133" s="5"/>
      <c r="K133" s="5"/>
      <c r="L133" s="5"/>
      <c r="M133" s="5"/>
      <c r="N133" s="6"/>
    </row>
    <row r="134" spans="1:14" x14ac:dyDescent="0.25">
      <c r="A134" s="2">
        <v>133</v>
      </c>
      <c r="B134" s="2" t="s">
        <v>331</v>
      </c>
      <c r="C134" s="2" t="s">
        <v>532</v>
      </c>
      <c r="D134" s="2" t="s">
        <v>533</v>
      </c>
      <c r="E134" s="3" t="s">
        <v>534</v>
      </c>
      <c r="F134" s="2" t="s">
        <v>535</v>
      </c>
      <c r="G134" s="4" t="s">
        <v>536</v>
      </c>
      <c r="H134" s="2" t="s">
        <v>19</v>
      </c>
      <c r="I134" s="5"/>
      <c r="J134" s="5"/>
      <c r="K134" s="5"/>
      <c r="L134" s="5"/>
      <c r="M134" s="5"/>
      <c r="N134" s="6"/>
    </row>
    <row r="135" spans="1:14" ht="25.5" x14ac:dyDescent="0.25">
      <c r="A135" s="2">
        <v>134</v>
      </c>
      <c r="B135" s="2" t="s">
        <v>331</v>
      </c>
      <c r="C135" s="2" t="s">
        <v>537</v>
      </c>
      <c r="D135" s="2" t="s">
        <v>538</v>
      </c>
      <c r="E135" s="3"/>
      <c r="F135" s="2" t="s">
        <v>23</v>
      </c>
      <c r="G135" s="4" t="s">
        <v>539</v>
      </c>
      <c r="H135" s="2" t="s">
        <v>25</v>
      </c>
      <c r="I135" s="5"/>
      <c r="J135" s="5"/>
      <c r="K135" s="5"/>
      <c r="L135" s="5"/>
      <c r="M135" s="5"/>
      <c r="N135" s="6"/>
    </row>
    <row r="136" spans="1:14" x14ac:dyDescent="0.25">
      <c r="A136" s="2">
        <v>135</v>
      </c>
      <c r="B136" s="2" t="s">
        <v>331</v>
      </c>
      <c r="C136" s="2" t="s">
        <v>540</v>
      </c>
      <c r="D136" s="2" t="s">
        <v>541</v>
      </c>
      <c r="E136" s="3" t="s">
        <v>542</v>
      </c>
      <c r="F136" s="2" t="s">
        <v>23</v>
      </c>
      <c r="G136" s="4" t="s">
        <v>543</v>
      </c>
      <c r="H136" s="2" t="s">
        <v>19</v>
      </c>
      <c r="I136" s="5"/>
      <c r="J136" s="5"/>
      <c r="K136" s="5"/>
      <c r="L136" s="5"/>
      <c r="M136" s="5"/>
      <c r="N136" s="6"/>
    </row>
    <row r="137" spans="1:14" ht="25.5" x14ac:dyDescent="0.25">
      <c r="A137" s="2">
        <v>136</v>
      </c>
      <c r="B137" s="2" t="s">
        <v>331</v>
      </c>
      <c r="C137" s="2" t="s">
        <v>544</v>
      </c>
      <c r="D137" s="2" t="s">
        <v>545</v>
      </c>
      <c r="E137" s="3" t="s">
        <v>546</v>
      </c>
      <c r="F137" s="2" t="s">
        <v>286</v>
      </c>
      <c r="G137" s="4" t="s">
        <v>547</v>
      </c>
      <c r="H137" s="2" t="s">
        <v>25</v>
      </c>
      <c r="I137" s="5"/>
      <c r="J137" s="5"/>
      <c r="K137" s="5"/>
      <c r="L137" s="5"/>
      <c r="M137" s="5"/>
      <c r="N137" s="6"/>
    </row>
  </sheetData>
  <autoFilter ref="A1:N137" xr:uid="{00000000-0009-0000-0000-000000000000}"/>
  <dataValidations count="2">
    <dataValidation type="list" allowBlank="1" sqref="K2:K137" xr:uid="{00000000-0002-0000-0000-000000000000}">
      <formula1>"нет ответа,положительный,деловой запрос,отказ,просил(а) не писать,авто-ответ"</formula1>
      <formula2>0</formula2>
    </dataValidation>
    <dataValidation type="list" allowBlank="1" sqref="M2:M137" xr:uid="{00000000-0002-0000-0000-000001000000}">
      <formula1>"ожидание,диалог,расчёт изделия,созвон,сотрудничество,закрыто"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/>
  </sheetViews>
  <sheetFormatPr defaultColWidth="8.7109375" defaultRowHeight="15" x14ac:dyDescent="0.25"/>
  <cols>
    <col min="1" max="1" width="34" customWidth="1"/>
    <col min="2" max="5" width="15" customWidth="1"/>
  </cols>
  <sheetData>
    <row r="1" spans="1:5" x14ac:dyDescent="0.25">
      <c r="A1" s="8" t="s">
        <v>548</v>
      </c>
    </row>
    <row r="2" spans="1:5" x14ac:dyDescent="0.25">
      <c r="A2" s="9" t="s">
        <v>1</v>
      </c>
      <c r="B2" s="9" t="s">
        <v>549</v>
      </c>
      <c r="C2" s="9" t="s">
        <v>8</v>
      </c>
      <c r="D2" s="9" t="s">
        <v>550</v>
      </c>
      <c r="E2" s="9" t="s">
        <v>551</v>
      </c>
    </row>
    <row r="3" spans="1:5" x14ac:dyDescent="0.25">
      <c r="A3" s="10" t="s">
        <v>14</v>
      </c>
      <c r="B3" s="10">
        <f>COUNTIF(Учёт!B:B,"campaign1")</f>
        <v>9</v>
      </c>
      <c r="C3" s="10">
        <f>COUNTIFS(Учёт!B:B,"campaign1",Учёт!I:I,"&lt;&gt;")</f>
        <v>9</v>
      </c>
      <c r="D3" s="10">
        <f>COUNTIFS(Учёт!B:B,"campaign1",Учёт!K:K,"&lt;&gt;")</f>
        <v>1</v>
      </c>
      <c r="E3" s="10" t="s">
        <v>552</v>
      </c>
    </row>
    <row r="4" spans="1:5" x14ac:dyDescent="0.25">
      <c r="A4" s="10" t="s">
        <v>55</v>
      </c>
      <c r="B4" s="10">
        <f>COUNTIF(Учёт!B:B,"campaign2")</f>
        <v>15</v>
      </c>
      <c r="C4" s="10">
        <f>COUNTIFS(Учёт!B:B,"campaign2",Учёт!I:I,"&lt;&gt;")</f>
        <v>15</v>
      </c>
      <c r="D4" s="10">
        <f>COUNTIFS(Учёт!B:B,"campaign2",Учёт!K:K,"&lt;&gt;")</f>
        <v>2</v>
      </c>
      <c r="E4" s="10" t="s">
        <v>553</v>
      </c>
    </row>
    <row r="5" spans="1:5" x14ac:dyDescent="0.25">
      <c r="A5" s="10" t="s">
        <v>121</v>
      </c>
      <c r="B5" s="10">
        <f>COUNTIF(Учёт!B:B,"campaign3")</f>
        <v>15</v>
      </c>
      <c r="C5" s="10">
        <f>COUNTIFS(Учёт!B:B,"campaign3",Учёт!I:I,"&lt;&gt;")</f>
        <v>15</v>
      </c>
      <c r="D5" s="10">
        <f>COUNTIFS(Учёт!B:B,"campaign3",Учёт!K:K,"&lt;&gt;")</f>
        <v>0</v>
      </c>
      <c r="E5" s="10" t="s">
        <v>554</v>
      </c>
    </row>
    <row r="6" spans="1:5" x14ac:dyDescent="0.25">
      <c r="A6" s="10" t="s">
        <v>177</v>
      </c>
      <c r="B6" s="10">
        <f>COUNTIF(Учёт!B:B,"campaign4")</f>
        <v>16</v>
      </c>
      <c r="C6" s="10">
        <f>COUNTIFS(Учёт!B:B,"campaign4",Учёт!I:I,"&lt;&gt;")</f>
        <v>16</v>
      </c>
      <c r="D6" s="10">
        <f>COUNTIFS(Учёт!B:B,"campaign4",Учёт!K:K,"&lt;&gt;")</f>
        <v>0</v>
      </c>
      <c r="E6" s="10" t="s">
        <v>555</v>
      </c>
    </row>
    <row r="7" spans="1:5" x14ac:dyDescent="0.25">
      <c r="A7" s="10" t="s">
        <v>243</v>
      </c>
      <c r="B7" s="10">
        <f>COUNTIF(Учёт!B:B,"campaign5")</f>
        <v>22</v>
      </c>
      <c r="C7" s="10">
        <f>COUNTIFS(Учёт!B:B,"campaign5",Учёт!I:I,"&lt;&gt;")</f>
        <v>0</v>
      </c>
      <c r="D7" s="10">
        <f>COUNTIFS(Учёт!B:B,"campaign5",Учёт!K:K,"&lt;&gt;")</f>
        <v>0</v>
      </c>
      <c r="E7" s="10" t="s">
        <v>556</v>
      </c>
    </row>
    <row r="8" spans="1:5" x14ac:dyDescent="0.25">
      <c r="A8" s="10" t="s">
        <v>331</v>
      </c>
      <c r="B8" s="10">
        <f>COUNTIF(Учёт!B:B,"campaign6")</f>
        <v>59</v>
      </c>
      <c r="C8" s="10">
        <f>COUNTIFS(Учёт!B:B,"campaign6",Учёт!I:I,"&lt;&gt;")</f>
        <v>0</v>
      </c>
      <c r="D8" s="10">
        <f>COUNTIFS(Учёт!B:B,"campaign6",Учёт!K:K,"&lt;&gt;")</f>
        <v>0</v>
      </c>
      <c r="E8" s="10" t="s">
        <v>556</v>
      </c>
    </row>
    <row r="9" spans="1:5" x14ac:dyDescent="0.25">
      <c r="A9" s="8" t="s">
        <v>557</v>
      </c>
      <c r="B9" s="8">
        <f>SUM(B3:B8)</f>
        <v>136</v>
      </c>
      <c r="C9" s="8">
        <f>SUM(C3:C8)</f>
        <v>55</v>
      </c>
      <c r="D9" s="8">
        <f>SUM(D3:D8)</f>
        <v>3</v>
      </c>
    </row>
    <row r="11" spans="1:5" x14ac:dyDescent="0.25">
      <c r="A11" s="10"/>
    </row>
    <row r="12" spans="1:5" x14ac:dyDescent="0.25">
      <c r="A12" s="8" t="s">
        <v>558</v>
      </c>
    </row>
    <row r="13" spans="1:5" x14ac:dyDescent="0.25">
      <c r="A13" s="10" t="s">
        <v>559</v>
      </c>
      <c r="B13" s="9">
        <f>COUNTIF(Учёт!K:K,"положительный")</f>
        <v>1</v>
      </c>
    </row>
    <row r="14" spans="1:5" x14ac:dyDescent="0.25">
      <c r="A14" s="10" t="s">
        <v>560</v>
      </c>
      <c r="B14" s="9">
        <f>COUNTIF(Учёт!K:K,"деловой запрос")</f>
        <v>1</v>
      </c>
    </row>
    <row r="15" spans="1:5" x14ac:dyDescent="0.25">
      <c r="A15" s="10" t="s">
        <v>561</v>
      </c>
      <c r="B15" s="9">
        <f>COUNTIF(Учёт!K:K,"отказ")</f>
        <v>1</v>
      </c>
    </row>
    <row r="16" spans="1:5" x14ac:dyDescent="0.25">
      <c r="A16" s="10" t="s">
        <v>562</v>
      </c>
      <c r="B16" s="9">
        <f>COUNTIF(Учёт!K:K,"просил(а) не писать")</f>
        <v>0</v>
      </c>
    </row>
    <row r="17" spans="1:2" x14ac:dyDescent="0.25">
      <c r="A17" s="10" t="s">
        <v>563</v>
      </c>
      <c r="B17" s="9" t="str">
        <f>IF(C9=0,"",TEXT(D9/C9,"0.0%"))</f>
        <v>5.5%</v>
      </c>
    </row>
    <row r="18" spans="1:2" x14ac:dyDescent="0.25">
      <c r="A18" s="10"/>
    </row>
    <row r="19" spans="1:2" x14ac:dyDescent="0.25">
      <c r="A19" s="8" t="s">
        <v>564</v>
      </c>
    </row>
    <row r="20" spans="1:2" x14ac:dyDescent="0.25">
      <c r="A20" s="10" t="s">
        <v>565</v>
      </c>
    </row>
    <row r="21" spans="1:2" x14ac:dyDescent="0.25">
      <c r="A21" s="10" t="s">
        <v>566</v>
      </c>
    </row>
    <row r="22" spans="1:2" x14ac:dyDescent="0.25">
      <c r="A22" s="10" t="s">
        <v>567</v>
      </c>
    </row>
    <row r="23" spans="1:2" x14ac:dyDescent="0.25">
      <c r="A23" s="10" t="s">
        <v>568</v>
      </c>
    </row>
    <row r="24" spans="1:2" x14ac:dyDescent="0.25">
      <c r="A24" s="10" t="s">
        <v>569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Учёт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 Dranitskiy</cp:lastModifiedBy>
  <cp:revision>0</cp:revision>
  <dcterms:created xsi:type="dcterms:W3CDTF">2026-07-13T06:45:12Z</dcterms:created>
  <dcterms:modified xsi:type="dcterms:W3CDTF">2026-07-13T13:24:15Z</dcterms:modified>
  <dc:language>en-US</dc:language>
</cp:coreProperties>
</file>