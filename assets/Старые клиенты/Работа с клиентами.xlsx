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rdro\Downloads\_STIVINTERIORS\Рассылка\Старые клиенты\"/>
    </mc:Choice>
  </mc:AlternateContent>
  <xr:revisionPtr revIDLastSave="0" documentId="13_ncr:1_{4FDB12E6-D7A2-4D5A-8114-2100778E961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Учёт" sheetId="1" r:id="rId1"/>
    <sheet name="Сводка и правила" sheetId="2" r:id="rId2"/>
  </sheets>
  <definedNames>
    <definedName name="_xlnm._FilterDatabase" localSheetId="0" hidden="1">Учёт!$A$1:$R$21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2" l="1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<sst xmlns="http://schemas.openxmlformats.org/spreadsheetml/2006/main" count="89" uniqueCount="87">
  <si>
    <t>№</t>
  </si>
  <si>
    <t>Клиент</t>
  </si>
  <si>
    <t>Контакт (тел./мессенджер)</t>
  </si>
  <si>
    <t>Предмет</t>
  </si>
  <si>
    <t>Дата установки</t>
  </si>
  <si>
    <t>Сегмент</t>
  </si>
  <si>
    <t>Касание 1: дата</t>
  </si>
  <si>
    <t>Касание 1: реакция</t>
  </si>
  <si>
    <t>Касание 2: дата</t>
  </si>
  <si>
    <t>Касание 2: реакция</t>
  </si>
  <si>
    <t>Касание 3: дата</t>
  </si>
  <si>
    <t>Касание 3: реакция</t>
  </si>
  <si>
    <t>Сервис: статус</t>
  </si>
  <si>
    <t>Сервис: дата</t>
  </si>
  <si>
    <t>Отзыв на Я.Картах</t>
  </si>
  <si>
    <t>Рекомендации</t>
  </si>
  <si>
    <t>Выплачено, ₽</t>
  </si>
  <si>
    <t>Заметки</t>
  </si>
  <si>
    <t>СВОДКА (считается сама по листу «Учёт»)</t>
  </si>
  <si>
    <t>Клиентов в сегменте А</t>
  </si>
  <si>
    <t>Клиентов в сегменте Б</t>
  </si>
  <si>
    <t>Клиентов в сегменте В</t>
  </si>
  <si>
    <t>Первых касаний сделано</t>
  </si>
  <si>
    <t>Жалоб получено</t>
  </si>
  <si>
    <t>Сервисных визитов выполнено</t>
  </si>
  <si>
    <t>Отзывов оставлено</t>
  </si>
  <si>
    <t>Приведено клиентов по рекомендациям</t>
  </si>
  <si>
    <t>Выплачено по программе всего, ₽</t>
  </si>
  <si>
    <t>ПРАВИЛА (зафиксированы 12.07.2026)</t>
  </si>
  <si>
    <t>Рекомендательная программа:</t>
  </si>
  <si>
    <t>• Новый клиент говорит «Я от такого-то» → ему 5% скидка при расчёте.</t>
  </si>
  <si>
    <t>• Рекомендателю — 10% от суммы договора, но не более 50 000 ₽, деньгами.</t>
  </si>
  <si>
    <t>• Право на выплату возникает после оформления договора и внесения аванса.</t>
  </si>
  <si>
    <t>Сервисные выезды:</t>
  </si>
  <si>
    <t>• Клиент подтвердил потребность → Станислав приезжает в течение недели.</t>
  </si>
  <si>
    <t>• Ответ клиенту: «Сейчас выясню ближайшее время и предложу его вам».</t>
  </si>
  <si>
    <t>КАК ЗАПОЛНЯТЬ</t>
  </si>
  <si>
    <t>• Жёлтые ячейки на листе «Учёт» — заполнить при разметке базы (20 клиентов).</t>
  </si>
  <si>
    <t>• Серая строка 2 — пример формата, можно удалить.</t>
  </si>
  <si>
    <t>• Сегменты А/Б/В — по давности установки, границы см. в документе кампании.</t>
  </si>
  <si>
    <t>• Даты — в формате ДД.ММ.ГГГГ, реакции и статусы — из выпадающих списков.</t>
  </si>
  <si>
    <t>Виктория - маленькая кухня</t>
  </si>
  <si>
    <t>Надежда Титаренко - прихожая</t>
  </si>
  <si>
    <t>Александр, Валентина - тумба в ванную</t>
  </si>
  <si>
    <t>Татьяна Толстова - кухня</t>
  </si>
  <si>
    <t>Михаил, МЭИ - кухня</t>
  </si>
  <si>
    <t>Марина, Александр - санузел, кухня</t>
  </si>
  <si>
    <t>Эмилия</t>
  </si>
  <si>
    <t>Крылатские Холмы - прихожая, два шкафа, уголок</t>
  </si>
  <si>
    <t>Анна, Александр</t>
  </si>
  <si>
    <t>г. Лобня, ул.Ленина 27, к.1,  кв.72, + 7 910 457 8288</t>
  </si>
  <si>
    <t>Евгений +7 925 800 2661</t>
  </si>
  <si>
    <t>г. Мытищи, Шараповская ул., д.8, корп. 2, кв. 93</t>
  </si>
  <si>
    <t>Анна</t>
  </si>
  <si>
    <t>ЖК Среда, 8 этаж, кв. 168</t>
  </si>
  <si>
    <t>Светлана</t>
  </si>
  <si>
    <t>Люсиновская, 68. Вход со двора со стороны ул Мытной, темно-коричневое крыльцо</t>
  </si>
  <si>
    <t>Мария</t>
  </si>
  <si>
    <t>ЖК Аквилон Бисайд, Рязанский пр-кт 2/2, кор.2, кв. 317, этаж 23</t>
  </si>
  <si>
    <t>Марина</t>
  </si>
  <si>
    <t>ЖК Сердце Столицы, Шелепихинская наб. 34 к2 зд.2 под.1 эт.14 кв.618</t>
  </si>
  <si>
    <t>Ирина</t>
  </si>
  <si>
    <t>Болотниковская 5, к.3, 1 подьезд. 7 этаж,  кв.32</t>
  </si>
  <si>
    <t>Дарья</t>
  </si>
  <si>
    <t>Прокшинский проспект 11 кв. 501, под.3, эт. 13. Код ворот #0000#, подъезда #9809#</t>
  </si>
  <si>
    <t>Елизавета</t>
  </si>
  <si>
    <t>ул. Амурская, д.2А, корп.2, кв.321, 26 эт.</t>
  </si>
  <si>
    <t>Ольга</t>
  </si>
  <si>
    <t>Лобановский лес, дом 11, подъезд 12 , кв. 778, этаж 6, код #0000#</t>
  </si>
  <si>
    <t>Александр, Марина</t>
  </si>
  <si>
    <t>ЖК Среда У, 28 этаж, кв. 248У_x000D_
Евгения, Самир +7 905 735-35-00"</t>
  </si>
  <si>
    <t>г. Москва, Рязанский проспект, д. 2/1, к.2Б, кв. 161, 17 этаж, код В2161В</t>
  </si>
  <si>
    <t>Оксана и Владимир +7 929 645-88-36</t>
  </si>
  <si>
    <t>Алтуфьевское шоссе, 53к2, кв.9, 3 этаж</t>
  </si>
  <si>
    <t>г. Москва, Рязанский проспект, д. 2/1, к.3М, кв. 146, этаж 3, В7557В</t>
  </si>
  <si>
    <t>Юлия и Кирилл</t>
  </si>
  <si>
    <t>Очаковское шоссе, д.5, к5, 3 подъезд, 15 этаж, кв.632</t>
  </si>
  <si>
    <t>Анжелика, Тихон</t>
  </si>
  <si>
    <t>2-я Институтская, д. 28, кв. 276, под.4, эт.3</t>
  </si>
  <si>
    <t>Макс: +7 916 843 89 85</t>
  </si>
  <si>
    <t>Юлия, Бутово</t>
  </si>
  <si>
    <t>Кухня, комната</t>
  </si>
  <si>
    <t>А</t>
  </si>
  <si>
    <t>Геля и Саша</t>
  </si>
  <si>
    <t>Шкафы</t>
  </si>
  <si>
    <t>WhatsApp: +7 903 799 51 29</t>
  </si>
  <si>
    <t>Виктория, Реутов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</si>
</sst>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d/m/yyyy;@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FFF9DB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/>
    <xf numFmtId="0" fontId="2" fillId="0" borderId="1" xfId="0" applyFont="1" applyBorder="1"/>
    <xf numFmtId="3" fontId="2" fillId="0" borderId="1" xfId="0" applyNumberFormat="1" applyFont="1" applyBorder="1"/>
    <xf numFmtId="0" fontId="3" fillId="0" borderId="0" xfId="0" applyFont="1"/>
    <xf numFmtId="0" fontId="2" fillId="0" borderId="0" xfId="0" applyFont="1"/>
    <xf numFmtId="0" fontId="4" fillId="0" borderId="0" xfId="0" applyFont="1"/>
    <xf numFmtId="3" fontId="4" fillId="0" borderId="0" xfId="0" applyNumberFormat="1" applyFont="1"/>
    <xf numFmtId="0" fontId="0" fillId="0" borderId="0" xfId="0" applyAlignment="1">
      <alignment wrapText="1"/>
    </xf>
    <xf numFmtId="0" fontId="5" fillId="3" borderId="1" xfId="0" applyFont="1" applyFill="1" applyBorder="1"/>
    <xf numFmtId="170" fontId="5" fillId="3" borderId="1" xfId="0" applyNumberFormat="1" applyFont="1" applyFill="1" applyBorder="1"/>
    <xf numFmtId="170" fontId="5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4" sqref="C4"/>
    </sheetView>
  </sheetViews>
  <sheetFormatPr defaultColWidth="8.7109375" defaultRowHeight="15" x14ac:dyDescent="0.25"/>
  <cols>
    <col min="1" max="1" width="4" customWidth="1"/>
    <col min="2" max="2" width="20" customWidth="1"/>
    <col min="3" max="3" width="25.85546875" bestFit="1" customWidth="1"/>
    <col min="4" max="4" width="16" customWidth="1"/>
    <col min="5" max="5" width="13" customWidth="1"/>
    <col min="6" max="6" width="9" customWidth="1"/>
    <col min="7" max="7" width="13" customWidth="1"/>
    <col min="8" max="8" width="17" customWidth="1"/>
    <col min="9" max="9" width="13" customWidth="1"/>
    <col min="10" max="10" width="17" customWidth="1"/>
    <col min="11" max="11" width="13" customWidth="1"/>
    <col min="12" max="12" width="17" customWidth="1"/>
    <col min="13" max="13" width="14" customWidth="1"/>
    <col min="14" max="14" width="12" customWidth="1"/>
    <col min="15" max="15" width="15" customWidth="1"/>
    <col min="16" max="16" width="16" customWidth="1"/>
    <col min="17" max="17" width="12" customWidth="1"/>
    <col min="18" max="18" width="30" customWidth="1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1</v>
      </c>
      <c r="B2" s="3" t="s">
        <v>80</v>
      </c>
      <c r="C2" s="3" t="s">
        <v>79</v>
      </c>
      <c r="D2" s="3" t="s">
        <v>81</v>
      </c>
      <c r="E2" s="12">
        <v>45398</v>
      </c>
      <c r="F2" s="3" t="s">
        <v>82</v>
      </c>
      <c r="G2" s="13">
        <v>46217</v>
      </c>
      <c r="H2" s="4"/>
      <c r="I2" s="13"/>
      <c r="J2" s="4"/>
      <c r="K2" s="13"/>
      <c r="L2" s="4"/>
      <c r="M2" s="4"/>
      <c r="N2" s="13"/>
      <c r="O2" s="4"/>
      <c r="P2" s="4"/>
      <c r="Q2" s="5"/>
      <c r="R2" s="4"/>
    </row>
    <row r="3" spans="1:18" x14ac:dyDescent="0.25">
      <c r="A3" s="2">
        <v>2</v>
      </c>
      <c r="B3" s="11" t="s">
        <v>83</v>
      </c>
      <c r="C3" s="11" t="s">
        <v>85</v>
      </c>
      <c r="D3" s="11" t="s">
        <v>84</v>
      </c>
      <c r="E3" s="12">
        <v>45464</v>
      </c>
      <c r="F3" s="3" t="s">
        <v>82</v>
      </c>
      <c r="G3" s="13"/>
      <c r="H3" s="4"/>
      <c r="I3" s="13"/>
      <c r="J3" s="4"/>
      <c r="K3" s="13"/>
      <c r="L3" s="4"/>
      <c r="M3" s="4"/>
      <c r="N3" s="13"/>
      <c r="O3" s="4"/>
      <c r="P3" s="4"/>
      <c r="Q3" s="5"/>
      <c r="R3" s="4"/>
    </row>
    <row r="4" spans="1:18" x14ac:dyDescent="0.25">
      <c r="A4" s="2">
        <v>3</v>
      </c>
      <c r="B4" s="11" t="s">
        <v>86</v>
      </c>
      <c r="C4" s="3"/>
      <c r="D4" s="3"/>
      <c r="E4" s="12"/>
      <c r="F4" s="3"/>
      <c r="G4" s="13"/>
      <c r="H4" s="4"/>
      <c r="I4" s="13"/>
      <c r="J4" s="4"/>
      <c r="K4" s="13"/>
      <c r="L4" s="4"/>
      <c r="M4" s="4"/>
      <c r="N4" s="13"/>
      <c r="O4" s="4"/>
      <c r="P4" s="4"/>
      <c r="Q4" s="5"/>
      <c r="R4" s="4"/>
    </row>
    <row r="5" spans="1:18" x14ac:dyDescent="0.25">
      <c r="A5" s="2">
        <v>4</v>
      </c>
      <c r="B5" s="3"/>
      <c r="C5" s="3"/>
      <c r="D5" s="3"/>
      <c r="E5" s="12"/>
      <c r="F5" s="3"/>
      <c r="G5" s="13"/>
      <c r="H5" s="4"/>
      <c r="I5" s="13"/>
      <c r="J5" s="4"/>
      <c r="K5" s="13"/>
      <c r="L5" s="4"/>
      <c r="M5" s="4"/>
      <c r="N5" s="13"/>
      <c r="O5" s="4"/>
      <c r="P5" s="4"/>
      <c r="Q5" s="5"/>
      <c r="R5" s="4"/>
    </row>
    <row r="6" spans="1:18" x14ac:dyDescent="0.25">
      <c r="A6" s="2">
        <v>5</v>
      </c>
      <c r="B6" s="3"/>
      <c r="C6" s="3"/>
      <c r="D6" s="3"/>
      <c r="E6" s="12"/>
      <c r="F6" s="3"/>
      <c r="G6" s="13"/>
      <c r="H6" s="4"/>
      <c r="I6" s="13"/>
      <c r="J6" s="4"/>
      <c r="K6" s="13"/>
      <c r="L6" s="4"/>
      <c r="M6" s="4"/>
      <c r="N6" s="13"/>
      <c r="O6" s="4"/>
      <c r="P6" s="4"/>
      <c r="Q6" s="5"/>
      <c r="R6" s="4"/>
    </row>
    <row r="7" spans="1:18" x14ac:dyDescent="0.25">
      <c r="A7" s="2">
        <v>6</v>
      </c>
      <c r="B7" s="3"/>
      <c r="C7" s="3"/>
      <c r="D7" s="3"/>
      <c r="E7" s="12"/>
      <c r="F7" s="3"/>
      <c r="G7" s="13"/>
      <c r="H7" s="4"/>
      <c r="I7" s="13"/>
      <c r="J7" s="4"/>
      <c r="K7" s="13"/>
      <c r="L7" s="4"/>
      <c r="M7" s="4"/>
      <c r="N7" s="13"/>
      <c r="O7" s="4"/>
      <c r="P7" s="4"/>
      <c r="Q7" s="5"/>
      <c r="R7" s="4"/>
    </row>
    <row r="8" spans="1:18" x14ac:dyDescent="0.25">
      <c r="A8" s="2">
        <v>7</v>
      </c>
      <c r="B8" s="3"/>
      <c r="C8" s="3"/>
      <c r="D8" s="3"/>
      <c r="E8" s="12"/>
      <c r="F8" s="3"/>
      <c r="G8" s="13"/>
      <c r="H8" s="4"/>
      <c r="I8" s="13"/>
      <c r="J8" s="4"/>
      <c r="K8" s="13"/>
      <c r="L8" s="4"/>
      <c r="M8" s="4"/>
      <c r="N8" s="13"/>
      <c r="O8" s="4"/>
      <c r="P8" s="4"/>
      <c r="Q8" s="5"/>
      <c r="R8" s="4"/>
    </row>
    <row r="9" spans="1:18" x14ac:dyDescent="0.25">
      <c r="A9" s="2">
        <v>8</v>
      </c>
      <c r="B9" s="3"/>
      <c r="C9" s="3"/>
      <c r="D9" s="3"/>
      <c r="E9" s="12"/>
      <c r="F9" s="3"/>
      <c r="G9" s="13"/>
      <c r="H9" s="4"/>
      <c r="I9" s="13"/>
      <c r="J9" s="4"/>
      <c r="K9" s="13"/>
      <c r="L9" s="4"/>
      <c r="M9" s="4"/>
      <c r="N9" s="13"/>
      <c r="O9" s="4"/>
      <c r="P9" s="4"/>
      <c r="Q9" s="5"/>
      <c r="R9" s="4"/>
    </row>
    <row r="10" spans="1:18" x14ac:dyDescent="0.25">
      <c r="A10" s="2">
        <v>9</v>
      </c>
      <c r="B10" s="3"/>
      <c r="C10" s="3"/>
      <c r="D10" s="3"/>
      <c r="E10" s="12"/>
      <c r="F10" s="3"/>
      <c r="G10" s="13"/>
      <c r="H10" s="4"/>
      <c r="I10" s="13"/>
      <c r="J10" s="4"/>
      <c r="K10" s="13"/>
      <c r="L10" s="4"/>
      <c r="M10" s="4"/>
      <c r="N10" s="13"/>
      <c r="O10" s="4"/>
      <c r="P10" s="4"/>
      <c r="Q10" s="5"/>
      <c r="R10" s="4"/>
    </row>
    <row r="11" spans="1:18" x14ac:dyDescent="0.25">
      <c r="A11" s="2">
        <v>10</v>
      </c>
      <c r="B11" s="3"/>
      <c r="C11" s="3"/>
      <c r="D11" s="3"/>
      <c r="E11" s="12"/>
      <c r="F11" s="3"/>
      <c r="G11" s="13"/>
      <c r="H11" s="4"/>
      <c r="I11" s="13"/>
      <c r="J11" s="4"/>
      <c r="K11" s="13"/>
      <c r="L11" s="4"/>
      <c r="M11" s="4"/>
      <c r="N11" s="13"/>
      <c r="O11" s="4"/>
      <c r="P11" s="4"/>
      <c r="Q11" s="5"/>
      <c r="R11" s="4"/>
    </row>
    <row r="12" spans="1:18" x14ac:dyDescent="0.25">
      <c r="A12" s="2">
        <v>11</v>
      </c>
      <c r="B12" s="3"/>
      <c r="C12" s="3"/>
      <c r="D12" s="3"/>
      <c r="E12" s="12"/>
      <c r="F12" s="3"/>
      <c r="G12" s="13"/>
      <c r="H12" s="4"/>
      <c r="I12" s="13"/>
      <c r="J12" s="4"/>
      <c r="K12" s="13"/>
      <c r="L12" s="4"/>
      <c r="M12" s="4"/>
      <c r="N12" s="13"/>
      <c r="O12" s="4"/>
      <c r="P12" s="4"/>
      <c r="Q12" s="5"/>
      <c r="R12" s="4"/>
    </row>
    <row r="13" spans="1:18" x14ac:dyDescent="0.25">
      <c r="A13" s="2">
        <v>12</v>
      </c>
      <c r="B13" s="3"/>
      <c r="C13" s="3"/>
      <c r="D13" s="3"/>
      <c r="E13" s="1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  <c r="R13" s="4"/>
    </row>
    <row r="14" spans="1:18" x14ac:dyDescent="0.25">
      <c r="A14" s="2">
        <v>13</v>
      </c>
      <c r="B14" s="3"/>
      <c r="C14" s="3"/>
      <c r="D14" s="3"/>
      <c r="E14" s="1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5"/>
      <c r="R14" s="4"/>
    </row>
    <row r="15" spans="1:18" x14ac:dyDescent="0.25">
      <c r="A15" s="2">
        <v>14</v>
      </c>
      <c r="B15" s="3"/>
      <c r="C15" s="3"/>
      <c r="D15" s="3"/>
      <c r="E15" s="1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5"/>
      <c r="R15" s="4"/>
    </row>
    <row r="16" spans="1:18" x14ac:dyDescent="0.25">
      <c r="A16" s="2">
        <v>15</v>
      </c>
      <c r="B16" s="3"/>
      <c r="C16" s="3"/>
      <c r="D16" s="3"/>
      <c r="E16" s="1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5"/>
      <c r="R16" s="4"/>
    </row>
    <row r="17" spans="1:18" x14ac:dyDescent="0.25">
      <c r="A17" s="2">
        <v>16</v>
      </c>
      <c r="B17" s="3"/>
      <c r="C17" s="3"/>
      <c r="D17" s="3"/>
      <c r="E17" s="1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5"/>
      <c r="R17" s="4"/>
    </row>
    <row r="18" spans="1:18" x14ac:dyDescent="0.25">
      <c r="A18" s="2">
        <v>17</v>
      </c>
      <c r="B18" s="3"/>
      <c r="C18" s="3"/>
      <c r="D18" s="3"/>
      <c r="E18" s="1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5"/>
      <c r="R18" s="4"/>
    </row>
    <row r="19" spans="1:18" x14ac:dyDescent="0.25">
      <c r="A19" s="2">
        <v>18</v>
      </c>
      <c r="B19" s="3"/>
      <c r="C19" s="3"/>
      <c r="D19" s="3"/>
      <c r="E19" s="12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5"/>
      <c r="R19" s="4"/>
    </row>
    <row r="20" spans="1:18" x14ac:dyDescent="0.25">
      <c r="A20" s="2">
        <v>19</v>
      </c>
      <c r="B20" s="3"/>
      <c r="C20" s="3"/>
      <c r="D20" s="3"/>
      <c r="E20" s="1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5"/>
      <c r="R20" s="4"/>
    </row>
    <row r="21" spans="1:18" x14ac:dyDescent="0.25">
      <c r="A21" s="2">
        <v>20</v>
      </c>
      <c r="B21" s="3"/>
      <c r="C21" s="3"/>
      <c r="D21" s="3"/>
      <c r="E21" s="1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5"/>
      <c r="R21" s="4"/>
    </row>
  </sheetData>
  <autoFilter ref="A1:R21" xr:uid="{00000000-0009-0000-0000-000000000000}"/>
  <dataValidations count="6">
    <dataValidation type="list" allowBlank="1" showErrorMessage="1" sqref="F2:F21" xr:uid="{00000000-0002-0000-0000-000000000000}">
      <formula1>"А,Б,В"</formula1>
      <formula2>0</formula2>
    </dataValidation>
    <dataValidation type="list" allowBlank="1" showErrorMessage="1" sqref="H2:H21 J2:J21 L2:L21" xr:uid="{00000000-0002-0000-0000-000001000000}">
      <formula1>"нет ответа,позитив,нейтрально,жалоба,просил(а) не писать"</formula1>
      <formula2>0</formula2>
    </dataValidation>
    <dataValidation type="list" allowBlank="1" showErrorMessage="1" sqref="M2:M21" xr:uid="{00000000-0002-0000-0000-000004000000}">
      <formula1>"не требуется,запрошен,назначен,выполнен"</formula1>
      <formula2>0</formula2>
    </dataValidation>
    <dataValidation type="list" allowBlank="1" showErrorMessage="1" sqref="O2:O21" xr:uid="{00000000-0002-0000-0000-000005000000}">
      <formula1>"не просили,попросили,обещал(а),оставил(а),отказался(лась)"</formula1>
      <formula2>0</formula2>
    </dataValidation>
    <dataValidation type="list" allowBlank="1" showErrorMessage="1" sqref="P2:P21" xr:uid="{00000000-0002-0000-0000-000006000000}">
      <formula1>"не предлагали,предложили,привёл(а) клиента,выплачено"</formula1>
      <formula2>0</formula2>
    </dataValidation>
    <dataValidation type="decimal" allowBlank="1" showErrorMessage="1" error="Потолок выплаты по программе — 50 000 ₽" sqref="Q2:Q21" xr:uid="{00000000-0002-0000-0000-000007000000}">
      <formula1>0</formula1>
      <formula2>50000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zoomScaleNormal="100" workbookViewId="0">
      <selection activeCell="G5" sqref="G5"/>
    </sheetView>
  </sheetViews>
  <sheetFormatPr defaultColWidth="8.7109375" defaultRowHeight="15" x14ac:dyDescent="0.25"/>
  <cols>
    <col min="1" max="1" width="46" customWidth="1"/>
    <col min="2" max="2" width="12" customWidth="1"/>
  </cols>
  <sheetData>
    <row r="1" spans="1:9" x14ac:dyDescent="0.25">
      <c r="A1" s="6" t="s">
        <v>18</v>
      </c>
    </row>
    <row r="2" spans="1:9" x14ac:dyDescent="0.25">
      <c r="A2" s="7" t="s">
        <v>19</v>
      </c>
      <c r="B2" s="8">
        <f>COUNTIF(Учёт!F2:F21,"А")</f>
        <v>2</v>
      </c>
    </row>
    <row r="3" spans="1:9" x14ac:dyDescent="0.25">
      <c r="A3" s="7" t="s">
        <v>20</v>
      </c>
      <c r="B3" s="8">
        <f>COUNTIF(Учёт!F2:F21,"Б")</f>
        <v>0</v>
      </c>
    </row>
    <row r="4" spans="1:9" x14ac:dyDescent="0.25">
      <c r="A4" s="7" t="s">
        <v>21</v>
      </c>
      <c r="B4" s="8">
        <f>COUNTIF(Учёт!F2:F21,"В")</f>
        <v>0</v>
      </c>
    </row>
    <row r="5" spans="1:9" x14ac:dyDescent="0.25">
      <c r="A5" s="7" t="s">
        <v>22</v>
      </c>
      <c r="B5" s="8">
        <f>COUNTA(Учёт!G2:G21)</f>
        <v>1</v>
      </c>
      <c r="G5" t="s">
        <v>41</v>
      </c>
    </row>
    <row r="6" spans="1:9" x14ac:dyDescent="0.25">
      <c r="A6" s="7" t="s">
        <v>23</v>
      </c>
      <c r="B6" s="8">
        <f>COUNTIF(Учёт!H2:H21,"жалоба")+COUNTIF(Учёт!J2:J21,"жалоба")+COUNTIF(Учёт!L2:L21,"жалоба")</f>
        <v>0</v>
      </c>
      <c r="G6" t="s">
        <v>42</v>
      </c>
    </row>
    <row r="7" spans="1:9" x14ac:dyDescent="0.25">
      <c r="A7" s="7" t="s">
        <v>24</v>
      </c>
      <c r="B7" s="8">
        <f>COUNTIF(Учёт!M2:M21,"выполнен")</f>
        <v>0</v>
      </c>
      <c r="G7" t="s">
        <v>43</v>
      </c>
    </row>
    <row r="8" spans="1:9" x14ac:dyDescent="0.25">
      <c r="A8" s="7" t="s">
        <v>25</v>
      </c>
      <c r="B8" s="8">
        <f>COUNTIF(Учёт!O2:O21,"оставил(а)")</f>
        <v>0</v>
      </c>
      <c r="G8" t="s">
        <v>44</v>
      </c>
    </row>
    <row r="9" spans="1:9" x14ac:dyDescent="0.25">
      <c r="A9" s="7" t="s">
        <v>26</v>
      </c>
      <c r="B9" s="8">
        <f>COUNTIF(Учёт!P2:P21,"привёл(а) клиента")+COUNTIF(Учёт!P2:P21,"выплачено")</f>
        <v>0</v>
      </c>
      <c r="G9" t="s">
        <v>45</v>
      </c>
    </row>
    <row r="10" spans="1:9" x14ac:dyDescent="0.25">
      <c r="A10" s="7" t="s">
        <v>27</v>
      </c>
      <c r="B10" s="9">
        <f>SUM(Учёт!Q2:Q21)</f>
        <v>0</v>
      </c>
      <c r="G10" t="s">
        <v>46</v>
      </c>
    </row>
    <row r="11" spans="1:9" x14ac:dyDescent="0.25">
      <c r="A11" s="7"/>
      <c r="G11" t="s">
        <v>47</v>
      </c>
      <c r="H11" t="s">
        <v>48</v>
      </c>
    </row>
    <row r="12" spans="1:9" x14ac:dyDescent="0.25">
      <c r="A12" s="6" t="s">
        <v>28</v>
      </c>
      <c r="G12" t="s">
        <v>49</v>
      </c>
      <c r="H12" t="s">
        <v>50</v>
      </c>
    </row>
    <row r="13" spans="1:9" x14ac:dyDescent="0.25">
      <c r="A13" s="6" t="s">
        <v>29</v>
      </c>
      <c r="G13" t="s">
        <v>51</v>
      </c>
      <c r="I13" t="s">
        <v>52</v>
      </c>
    </row>
    <row r="14" spans="1:9" x14ac:dyDescent="0.25">
      <c r="A14" s="7" t="s">
        <v>30</v>
      </c>
      <c r="G14" t="s">
        <v>53</v>
      </c>
      <c r="H14" t="s">
        <v>54</v>
      </c>
    </row>
    <row r="15" spans="1:9" x14ac:dyDescent="0.25">
      <c r="A15" s="7" t="s">
        <v>31</v>
      </c>
      <c r="G15" t="s">
        <v>55</v>
      </c>
      <c r="H15" t="s">
        <v>56</v>
      </c>
    </row>
    <row r="16" spans="1:9" x14ac:dyDescent="0.25">
      <c r="A16" s="7" t="s">
        <v>32</v>
      </c>
      <c r="G16" t="s">
        <v>57</v>
      </c>
      <c r="H16" t="s">
        <v>58</v>
      </c>
    </row>
    <row r="17" spans="1:9" x14ac:dyDescent="0.25">
      <c r="A17" s="6" t="s">
        <v>33</v>
      </c>
      <c r="G17" t="s">
        <v>59</v>
      </c>
      <c r="H17" t="s">
        <v>60</v>
      </c>
    </row>
    <row r="18" spans="1:9" x14ac:dyDescent="0.25">
      <c r="A18" s="7" t="s">
        <v>34</v>
      </c>
      <c r="G18" t="s">
        <v>61</v>
      </c>
      <c r="H18" t="s">
        <v>62</v>
      </c>
    </row>
    <row r="19" spans="1:9" x14ac:dyDescent="0.25">
      <c r="A19" s="7" t="s">
        <v>35</v>
      </c>
      <c r="G19" t="s">
        <v>63</v>
      </c>
      <c r="H19" t="s">
        <v>64</v>
      </c>
    </row>
    <row r="20" spans="1:9" x14ac:dyDescent="0.25">
      <c r="A20" s="7"/>
      <c r="G20" t="s">
        <v>65</v>
      </c>
      <c r="H20" t="s">
        <v>66</v>
      </c>
    </row>
    <row r="21" spans="1:9" x14ac:dyDescent="0.25">
      <c r="A21" s="6" t="s">
        <v>36</v>
      </c>
      <c r="G21" t="s">
        <v>67</v>
      </c>
      <c r="H21" t="s">
        <v>68</v>
      </c>
    </row>
    <row r="22" spans="1:9" ht="135" x14ac:dyDescent="0.25">
      <c r="A22" s="7" t="s">
        <v>37</v>
      </c>
      <c r="G22" t="s">
        <v>69</v>
      </c>
      <c r="H22" s="10" t="s">
        <v>70</v>
      </c>
      <c r="I22" t="s">
        <v>71</v>
      </c>
    </row>
    <row r="23" spans="1:9" x14ac:dyDescent="0.25">
      <c r="A23" s="7" t="s">
        <v>38</v>
      </c>
      <c r="G23" t="s">
        <v>72</v>
      </c>
      <c r="H23" t="s">
        <v>73</v>
      </c>
    </row>
    <row r="24" spans="1:9" x14ac:dyDescent="0.25">
      <c r="A24" s="7" t="s">
        <v>39</v>
      </c>
      <c r="G24" t="s">
        <v>61</v>
      </c>
      <c r="H24" t="s">
        <v>74</v>
      </c>
    </row>
    <row r="25" spans="1:9" x14ac:dyDescent="0.25">
      <c r="A25" s="7" t="s">
        <v>40</v>
      </c>
      <c r="G25" t="s">
        <v>75</v>
      </c>
      <c r="H25" t="s">
        <v>76</v>
      </c>
    </row>
    <row r="26" spans="1:9" x14ac:dyDescent="0.25">
      <c r="G26" t="s">
        <v>77</v>
      </c>
      <c r="H26" t="s">
        <v>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Учёт</vt:lpstr>
      <vt:lpstr>Сводка и правила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Alexandr Dranitskiy</cp:lastModifiedBy>
  <cp:revision>0</cp:revision>
  <dcterms:created xsi:type="dcterms:W3CDTF">2026-07-12T07:57:24Z</dcterms:created>
  <dcterms:modified xsi:type="dcterms:W3CDTF">2026-07-15T06:45:58Z</dcterms:modified>
  <dc:language>en-US</dc:language>
</cp:coreProperties>
</file>